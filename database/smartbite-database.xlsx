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ducts" sheetId="2" state="visible" r:id="rId4"/>
    <sheet name="Fresh foods" sheetId="3" state="visible" r:id="rId5"/>
    <sheet name="Additives" sheetId="4" state="visible" r:id="rId6"/>
    <sheet name="Meal swaps" sheetId="5" state="visible" r:id="rId7"/>
    <sheet name="Swap ideas" sheetId="6" state="visible" r:id="rId8"/>
    <sheet name="Dishes" sheetId="7" state="visible" r:id="rId9"/>
    <sheet name="Shop" sheetId="8" state="visible" r:id="rId10"/>
  </sheets>
  <definedNames>
    <definedName function="false" hidden="true" localSheetId="3" name="_xlnm._FilterDatabase" vbProcedure="false">Additives!$A$1:$E$26</definedName>
    <definedName function="false" hidden="true" localSheetId="6" name="_xlnm._FilterDatabase" vbProcedure="false">Dishes!$A$1:$J$11</definedName>
    <definedName function="false" hidden="true" localSheetId="2" name="_xlnm._FilterDatabase" vbProcedure="false">'Fresh foods'!$A$1:$H$32</definedName>
    <definedName function="false" hidden="true" localSheetId="4" name="_xlnm._FilterDatabase" vbProcedure="false">'Meal swaps'!$A$1:$E$43</definedName>
    <definedName function="false" hidden="true" localSheetId="1" name="_xlnm._FilterDatabase" vbProcedure="false">Products!$A$1:$AC$84</definedName>
    <definedName function="false" hidden="true" localSheetId="7" name="_xlnm._FilterDatabase" vbProcedure="false">Shop!$A$1:$J$10</definedName>
    <definedName function="false" hidden="true" localSheetId="5" name="_xlnm._FilterDatabase" vbProcedure="false">'Swap ideas'!$A$1:$D$23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<sst xmlns="http://schemas.openxmlformats.org/spreadsheetml/2006/main" count="1867" uniqueCount="809">
  <si>
    <t xml:space="preserve">SmartBite database</t>
  </si>
  <si>
    <t xml:space="preserve">Everything the SmartBite app knows built in, exported from the app code on 2026-10-27.</t>
  </si>
  <si>
    <t xml:space="preserve">What is in each sheet</t>
  </si>
  <si>
    <t xml:space="preserve">Products: packaged foods and drinks. Nutrition is per 100 g, or per 100 ml for drinks. Scores are worked out by the app's own scoring rules (score.js).</t>
  </si>
  <si>
    <t xml:space="preserve">Fresh foods: home and street foods per serving, used to check AI thali estimates.</t>
  </si>
  <si>
    <t xml:space="preserve">Additives: E-numbers and additives the app explains, with a concern level (1 low to 3 high).</t>
  </si>
  <si>
    <t xml:space="preserve">Meal swaps: the breakfast, lunch and dinner swaps (veg / egg / non-veg).</t>
  </si>
  <si>
    <t xml:space="preserve">Swap ideas, Dishes, Shop: the other lists shown in the app. Shop items are samples until brands join.</t>
  </si>
  <si>
    <t xml:space="preserve">Summary</t>
  </si>
  <si>
    <t xml:space="preserve">Products in the database</t>
  </si>
  <si>
    <t xml:space="preserve">Exact Indian pack values</t>
  </si>
  <si>
    <t xml:space="preserve">Adult verdict: Good</t>
  </si>
  <si>
    <t xml:space="preserve">Adult verdict: Okay in moderation</t>
  </si>
  <si>
    <t xml:space="preserve">Adult verdict: Avoid</t>
  </si>
  <si>
    <t xml:space="preserve">Fresh foods</t>
  </si>
  <si>
    <t xml:space="preserve">Additives explained</t>
  </si>
  <si>
    <t xml:space="preserve">Meal swaps</t>
  </si>
  <si>
    <t xml:space="preserve">Sources: Open Food Facts India pack entries (ODbL licence), makers' published labels for Red Bull and Nutella, WHO and ICMR-NIN daily limits. Values marked "Exact pack values = No" are typical values: check the pack.</t>
  </si>
  <si>
    <t xml:space="preserve">Live data such as sponsor enquiries is stored securely on Netlify and is not included in this file.</t>
  </si>
  <si>
    <t xml:space="preserve">ID</t>
  </si>
  <si>
    <t xml:space="preserve">Brand</t>
  </si>
  <si>
    <t xml:space="preserve">Product</t>
  </si>
  <si>
    <t xml:space="preserve">Category</t>
  </si>
  <si>
    <t xml:space="preserve">Drink</t>
  </si>
  <si>
    <t xml:space="preserve">Barcode</t>
  </si>
  <si>
    <t xml:space="preserve">Pack size</t>
  </si>
  <si>
    <t xml:space="preserve">Unit</t>
  </si>
  <si>
    <t xml:space="preserve">Energy (kcal)</t>
  </si>
  <si>
    <t xml:space="preserve">Fat (g)</t>
  </si>
  <si>
    <t xml:space="preserve">Sat. fat (g)</t>
  </si>
  <si>
    <t xml:space="preserve">Carbs (g)</t>
  </si>
  <si>
    <t xml:space="preserve">Sugar (g)</t>
  </si>
  <si>
    <t xml:space="preserve">Fibre (g)</t>
  </si>
  <si>
    <t xml:space="preserve">Protein (g)</t>
  </si>
  <si>
    <t xml:space="preserve">Sodium (mg)</t>
  </si>
  <si>
    <t xml:space="preserve">Processing (NOVA 1-4)</t>
  </si>
  <si>
    <t xml:space="preserve">Caffeine</t>
  </si>
  <si>
    <t xml:space="preserve">Veg</t>
  </si>
  <si>
    <t xml:space="preserve">Allergens</t>
  </si>
  <si>
    <t xml:space="preserve">Adult score (1-5)</t>
  </si>
  <si>
    <t xml:space="preserve">Adult verdict</t>
  </si>
  <si>
    <t xml:space="preserve">Child score (1-5)</t>
  </si>
  <si>
    <t xml:space="preserve">Child verdict</t>
  </si>
  <si>
    <t xml:space="preserve">Junk points (0-7)</t>
  </si>
  <si>
    <t xml:space="preserve">Junk meter</t>
  </si>
  <si>
    <t xml:space="preserve">Data source</t>
  </si>
  <si>
    <t xml:space="preserve">Exact pack values</t>
  </si>
  <si>
    <t xml:space="preserve">Ingredients</t>
  </si>
  <si>
    <t xml:space="preserve">lays-classic-salted</t>
  </si>
  <si>
    <t xml:space="preserve">Lay's</t>
  </si>
  <si>
    <t xml:space="preserve">Classic Salted</t>
  </si>
  <si>
    <t xml:space="preserve">Chips</t>
  </si>
  <si>
    <t xml:space="preserve">No</t>
  </si>
  <si>
    <t xml:space="preserve">8901491101837</t>
  </si>
  <si>
    <t xml:space="preserve">g</t>
  </si>
  <si>
    <t xml:space="preserve">Yes</t>
  </si>
  <si>
    <t xml:space="preserve">Okay in moderation</t>
  </si>
  <si>
    <t xml:space="preserve">Avoid</t>
  </si>
  <si>
    <t xml:space="preserve">Junk food</t>
  </si>
  <si>
    <t xml:space="preserve">Open Food Facts (India pack)</t>
  </si>
  <si>
    <t xml:space="preserve">Potato, Edible vegetable oil, Salt</t>
  </si>
  <si>
    <t xml:space="preserve">lays-magic-masala</t>
  </si>
  <si>
    <t xml:space="preserve">India's Magic Masala</t>
  </si>
  <si>
    <t xml:space="preserve">8901491000789</t>
  </si>
  <si>
    <t xml:space="preserve">Open Food Facts (fat, sat fat, sodium); other values approx</t>
  </si>
  <si>
    <t xml:space="preserve">Potato, Edible vegetable oil, Spices and condiments, Iodised salt and black salt, Sugar, Maltodextrin, Tomato powder, Acidity regulators, Flavouring substances, Anticaking agent, Permitted colour</t>
  </si>
  <si>
    <t xml:space="preserve">lays-spanish-tomato-tango</t>
  </si>
  <si>
    <t xml:space="preserve">Spanish Tomato Tango</t>
  </si>
  <si>
    <t xml:space="preserve">gluten</t>
  </si>
  <si>
    <t xml:space="preserve">Typical values (verify with pack)</t>
  </si>
  <si>
    <t xml:space="preserve">Potato, Edible vegetable oil, Sugar, Salt, Tomato powder, Red chilli powder, Garlic powder, Black pepper powder, Clove powder, Cinnamon powder, Wheat fibre, Dextrose</t>
  </si>
  <si>
    <t xml:space="preserve">lays-chile-limon</t>
  </si>
  <si>
    <t xml:space="preserve">Chile Limón</t>
  </si>
  <si>
    <t xml:space="preserve">Potato, Edible vegetable oil, Sugar, Salt, Red chilli powder, Garlic powder, Onion powder, Lime juice powder</t>
  </si>
  <si>
    <t xml:space="preserve">lays-cheese-tbc</t>
  </si>
  <si>
    <t xml:space="preserve">Cheese Flavour</t>
  </si>
  <si>
    <t xml:space="preserve">milk</t>
  </si>
  <si>
    <t xml:space="preserve">Potato, Edible vegetable oil, Sugar, Iodised salt, Milk solids, Spices and condiments, Maltodextrin, Cheese powder, Hydrolysed vegetable protein, Flavouring substances, Flavour enhancers (627, 631)</t>
  </si>
  <si>
    <t xml:space="preserve">lays-cream-onion</t>
  </si>
  <si>
    <t xml:space="preserve">American Style Cream &amp; Onion</t>
  </si>
  <si>
    <t xml:space="preserve">Potato, Edible vegetable oil, Sugar, Salt, Milk solids, Onion powder, Maltodextrin, Spices and condiments, Flavouring substances, Flavour enhancers (627, 631)</t>
  </si>
  <si>
    <t xml:space="preserve">balaji-crunchem-salted</t>
  </si>
  <si>
    <t xml:space="preserve">Balaji</t>
  </si>
  <si>
    <t xml:space="preserve">Crunchem Simply Salted Wafers</t>
  </si>
  <si>
    <t xml:space="preserve">balajiwafers.com</t>
  </si>
  <si>
    <t xml:space="preserve">Potato (89%), Edible vegetable oil (Palmolein), Edible common salt (0.4%)</t>
  </si>
  <si>
    <t xml:space="preserve">balaji-masala-masti</t>
  </si>
  <si>
    <t xml:space="preserve">Masala Masti Wafers</t>
  </si>
  <si>
    <t xml:space="preserve">8906010500030</t>
  </si>
  <si>
    <t xml:space="preserve">Potato, Edible vegetable oil (Palmolein), Spices and condiments, Salt, Sugar, Black salt, Acidity regulator, Flavouring substances</t>
  </si>
  <si>
    <t xml:space="preserve">balaji-peri-peri</t>
  </si>
  <si>
    <t xml:space="preserve">Peri Peri Wafers</t>
  </si>
  <si>
    <t xml:space="preserve">Potato, Edible vegetable oil (Palmolein), Spices and condiments, Salt, Sugar, Acidity regulator, Flavouring substances</t>
  </si>
  <si>
    <t xml:space="preserve">balaji-chaat-chaska</t>
  </si>
  <si>
    <t xml:space="preserve">Chaat Chaska Wafers</t>
  </si>
  <si>
    <t xml:space="preserve">Potato, Edible vegetable oil (Palmolein), Spices and condiments, Salt, Black salt, Sugar, Dry mango powder, Acidity regulator</t>
  </si>
  <si>
    <t xml:space="preserve">balaji-plain-khakhra</t>
  </si>
  <si>
    <t xml:space="preserve">Plain Khakhra</t>
  </si>
  <si>
    <t xml:space="preserve">Snacks</t>
  </si>
  <si>
    <t xml:space="preserve">Occasional treat</t>
  </si>
  <si>
    <t xml:space="preserve">Wheat flour, Edible vegetable oil, Salt, Spices</t>
  </si>
  <si>
    <t xml:space="preserve">haldiram-aloo-bhujia</t>
  </si>
  <si>
    <t xml:space="preserve">Haldiram's</t>
  </si>
  <si>
    <t xml:space="preserve">Aloo Bhujia</t>
  </si>
  <si>
    <t xml:space="preserve">Namkeen</t>
  </si>
  <si>
    <t xml:space="preserve">Potato, Gram flour (besan), Edible vegetable oil, Moth bean flour, Salt, Spices, Black salt</t>
  </si>
  <si>
    <t xml:space="preserve">bikaji-bhujia</t>
  </si>
  <si>
    <t xml:space="preserve">Bikaji</t>
  </si>
  <si>
    <t xml:space="preserve">Bikaneri Bhujia</t>
  </si>
  <si>
    <t xml:space="preserve">Moth bean flour, Gram flour, Edible vegetable oil, Salt, Spices and condiments</t>
  </si>
  <si>
    <t xml:space="preserve">haldiram-moong-dal</t>
  </si>
  <si>
    <t xml:space="preserve">Moong Dal</t>
  </si>
  <si>
    <t xml:space="preserve">Moong dal, Edible vegetable oil, Salt</t>
  </si>
  <si>
    <t xml:space="preserve">kurkure-masala-munch</t>
  </si>
  <si>
    <t xml:space="preserve">Kurkure</t>
  </si>
  <si>
    <t xml:space="preserve">Masala Munch</t>
  </si>
  <si>
    <t xml:space="preserve">Rice meal, Edible vegetable oil, Corn meal, Gram meal, Spices and condiments, Salt, Sugar, Black salt, Acidity regulator (330), Flavour enhancers (627, 631), Anticaking agent (551)</t>
  </si>
  <si>
    <t xml:space="preserve">bingo-mad-angles</t>
  </si>
  <si>
    <t xml:space="preserve">Bingo!</t>
  </si>
  <si>
    <t xml:space="preserve">Mad Angles Achaari Masti</t>
  </si>
  <si>
    <t xml:space="preserve">Wheat flour, Edible vegetable oil, Corn grits, Rice grits, Spices and condiments, Salt, Sugar, Acidity regulators (330, 296), Flavour enhancers (627, 631)</t>
  </si>
  <si>
    <t xml:space="preserve">tata-roasted-chana</t>
  </si>
  <si>
    <t xml:space="preserve">Tata Sampann</t>
  </si>
  <si>
    <t xml:space="preserve">Roasted Chana</t>
  </si>
  <si>
    <t xml:space="preserve">Healthy snacks</t>
  </si>
  <si>
    <t xml:space="preserve">Good</t>
  </si>
  <si>
    <t xml:space="preserve">Not junk</t>
  </si>
  <si>
    <t xml:space="preserve">Bengal gram (chana)</t>
  </si>
  <si>
    <t xml:space="preserve">parle-g</t>
  </si>
  <si>
    <t xml:space="preserve">Parle</t>
  </si>
  <si>
    <t xml:space="preserve">Parle-G Glucose Biscuits</t>
  </si>
  <si>
    <t xml:space="preserve">Biscuits</t>
  </si>
  <si>
    <t xml:space="preserve">gluten, milk</t>
  </si>
  <si>
    <t xml:space="preserve">Wheat flour, Sugar, Edible vegetable oil (palm), Invert sugar syrup, Milk solids, Raising agents (503, 500), Salt, Emulsifiers</t>
  </si>
  <si>
    <t xml:space="preserve">good-day-cashew</t>
  </si>
  <si>
    <t xml:space="preserve">Britannia</t>
  </si>
  <si>
    <t xml:space="preserve">Good Day Cashew Cookies</t>
  </si>
  <si>
    <t xml:space="preserve">gluten, milk, tree nuts</t>
  </si>
  <si>
    <t xml:space="preserve">Wheat flour, Sugar, Edible vegetable oil, Cashew (5%), Butter, Milk solids, Raising agents, Salt, Emulsifiers, Flavouring substances</t>
  </si>
  <si>
    <t xml:space="preserve">marie-gold</t>
  </si>
  <si>
    <t xml:space="preserve">Marie Gold</t>
  </si>
  <si>
    <t xml:space="preserve">Wheat flour, Sugar, Edible vegetable oil, Invert syrup, Milk solids, Raising agents, Salt, Emulsifiers</t>
  </si>
  <si>
    <t xml:space="preserve">kelloggs-chocos</t>
  </si>
  <si>
    <t xml:space="preserve">Kellogg's</t>
  </si>
  <si>
    <t xml:space="preserve">Chocos</t>
  </si>
  <si>
    <t xml:space="preserve">Breakfast</t>
  </si>
  <si>
    <t xml:space="preserve">Whole wheat flour, Sugar, Cocoa solids, Maize grits, Salt, Vitamins and minerals, Flavouring substances</t>
  </si>
  <si>
    <t xml:space="preserve">saffola-oats</t>
  </si>
  <si>
    <t xml:space="preserve">Saffola</t>
  </si>
  <si>
    <t xml:space="preserve">Classic Masala Oats</t>
  </si>
  <si>
    <t xml:space="preserve">Rolled oats, Dehydrated vegetables, Spices, Salt, Sugar, Edible vegetable oil, Flavour enhancer (627, 631)</t>
  </si>
  <si>
    <t xml:space="preserve">maggi-masala</t>
  </si>
  <si>
    <t xml:space="preserve">Maggi</t>
  </si>
  <si>
    <t xml:space="preserve">2-Minute Masala Noodles</t>
  </si>
  <si>
    <t xml:space="preserve">Instant food</t>
  </si>
  <si>
    <t xml:space="preserve">Refined wheat flour (maida), Palm oil, Salt, Wheat gluten, Thickeners (508, 412), Acidity regulators (501, 500), Masala tastemaker (spices, salt, sugar, onion, garlic, flavour enhancer 635)</t>
  </si>
  <si>
    <t xml:space="preserve">yippee-magic-masala</t>
  </si>
  <si>
    <t xml:space="preserve">Sunfeast YiPPee!</t>
  </si>
  <si>
    <t xml:space="preserve">Magic Masala Noodles</t>
  </si>
  <si>
    <t xml:space="preserve">Refined wheat flour (maida), Edible vegetable oil, Salt, Thickener (412), Acidity regulator, Tastemaker (spices, salt, sugar, flavour enhancer 627, 631)</t>
  </si>
  <si>
    <t xml:space="preserve">amul-butter</t>
  </si>
  <si>
    <t xml:space="preserve">Amul</t>
  </si>
  <si>
    <t xml:space="preserve">Pasteurised Butter</t>
  </si>
  <si>
    <t xml:space="preserve">Dairy</t>
  </si>
  <si>
    <t xml:space="preserve">Milk fat, Common salt, Permitted natural colour (annatto)</t>
  </si>
  <si>
    <t xml:space="preserve">amul-kool</t>
  </si>
  <si>
    <t xml:space="preserve">Kool Kesar Milk</t>
  </si>
  <si>
    <t xml:space="preserve">Drinks</t>
  </si>
  <si>
    <t xml:space="preserve">ml</t>
  </si>
  <si>
    <t xml:space="preserve">Toned milk, Sugar, Saffron, Cardamom, Stabilizer, Permitted colour</t>
  </si>
  <si>
    <t xml:space="preserve">mother-dairy-dahi</t>
  </si>
  <si>
    <t xml:space="preserve">Mother Dairy</t>
  </si>
  <si>
    <t xml:space="preserve">Classic Dahi</t>
  </si>
  <si>
    <t xml:space="preserve">Pasteurised toned milk, Active cultures</t>
  </si>
  <si>
    <t xml:space="preserve">amul-taaza</t>
  </si>
  <si>
    <t xml:space="preserve">Taaza Toned Milk</t>
  </si>
  <si>
    <t xml:space="preserve">Toned milk</t>
  </si>
  <si>
    <t xml:space="preserve">frooti</t>
  </si>
  <si>
    <t xml:space="preserve">Parle Agro</t>
  </si>
  <si>
    <t xml:space="preserve">Frooti Mango Drink</t>
  </si>
  <si>
    <t xml:space="preserve">Water, Mango pulp (19.5%), Sugar, Acidity regulator (330), Antioxidant (300), Flavouring substances</t>
  </si>
  <si>
    <t xml:space="preserve">maaza</t>
  </si>
  <si>
    <t xml:space="preserve">Maaza</t>
  </si>
  <si>
    <t xml:space="preserve">Mango Drink</t>
  </si>
  <si>
    <t xml:space="preserve">Water, Mango pulp, Sugar, Acidity regulator (330), Antioxidant (300), Preservative (211), Flavouring substances</t>
  </si>
  <si>
    <t xml:space="preserve">real-mixed-fruit</t>
  </si>
  <si>
    <t xml:space="preserve">Real</t>
  </si>
  <si>
    <t xml:space="preserve">Mixed Fruit Juice</t>
  </si>
  <si>
    <t xml:space="preserve">Water, Mixed fruit concentrates and pulps, Sugar, Acidity regulator (330), Antioxidant (300)</t>
  </si>
  <si>
    <t xml:space="preserve">paper-boat-aam-panna</t>
  </si>
  <si>
    <t xml:space="preserve">Paper Boat</t>
  </si>
  <si>
    <t xml:space="preserve">Aam Panna</t>
  </si>
  <si>
    <t xml:space="preserve">Water, Raw mango pulp, Sugar, Black salt, Cumin, Mint, Acidity regulator (330)</t>
  </si>
  <si>
    <t xml:space="preserve">thums-up</t>
  </si>
  <si>
    <t xml:space="preserve">Thums Up</t>
  </si>
  <si>
    <t xml:space="preserve">Thums Up Cola</t>
  </si>
  <si>
    <t xml:space="preserve">Carbonated water, Sugar, Acidity regulator (338), Caffeine, Colour (150d), Flavouring substances</t>
  </si>
  <si>
    <t xml:space="preserve">bournvita</t>
  </si>
  <si>
    <t xml:space="preserve">Cadbury</t>
  </si>
  <si>
    <t xml:space="preserve">Bournvita Health Drink Powder</t>
  </si>
  <si>
    <t xml:space="preserve">Drinks mix</t>
  </si>
  <si>
    <t xml:space="preserve">Cereal extract, Sugar, Cocoa solids, Milk solids, Liquid glucose, Vitamins and minerals, Emulsifier, Colour (150c), Flavouring substances</t>
  </si>
  <si>
    <t xml:space="preserve">horlicks-classic</t>
  </si>
  <si>
    <t xml:space="preserve">Horlicks</t>
  </si>
  <si>
    <t xml:space="preserve">Classic Malt</t>
  </si>
  <si>
    <t xml:space="preserve">Malted barley, Wheat flour, Milk solids, Sugar, Minerals, Vitamins, Salt</t>
  </si>
  <si>
    <t xml:space="preserve">dairy-milk</t>
  </si>
  <si>
    <t xml:space="preserve">Dairy Milk</t>
  </si>
  <si>
    <t xml:space="preserve">Chocolate</t>
  </si>
  <si>
    <t xml:space="preserve">milk, soy</t>
  </si>
  <si>
    <t xml:space="preserve">Sugar, Milk solids, Cocoa butter, Cocoa solids, Emulsifiers (442, 476), Flavouring substances</t>
  </si>
  <si>
    <t xml:space="preserve">amul-dark-55</t>
  </si>
  <si>
    <t xml:space="preserve">Dark Chocolate 55%</t>
  </si>
  <si>
    <t xml:space="preserve">soy</t>
  </si>
  <si>
    <t xml:space="preserve">Cocoa solids, Sugar, Cocoa butter, Emulsifier (322), Vanilla flavour</t>
  </si>
  <si>
    <t xml:space="preserve">kissan-ketchup</t>
  </si>
  <si>
    <t xml:space="preserve">Kissan</t>
  </si>
  <si>
    <t xml:space="preserve">Fresh Tomato Ketchup</t>
  </si>
  <si>
    <t xml:space="preserve">Sauces</t>
  </si>
  <si>
    <t xml:space="preserve">Tomato paste, Sugar, Water, Salt, Acidity regulator (260), Thickener (1422), Preservative (211), Spices</t>
  </si>
  <si>
    <t xml:space="preserve">in-sprite</t>
  </si>
  <si>
    <t xml:space="preserve">Sprite</t>
  </si>
  <si>
    <t xml:space="preserve">Sprite Lime &amp; Lemon</t>
  </si>
  <si>
    <t xml:space="preserve">8901764032905</t>
  </si>
  <si>
    <t xml:space="preserve">SmartBite verified (India pack)</t>
  </si>
  <si>
    <t xml:space="preserve">in-coca-cola</t>
  </si>
  <si>
    <t xml:space="preserve">Coca-Cola</t>
  </si>
  <si>
    <t xml:space="preserve">8901764012914</t>
  </si>
  <si>
    <t xml:space="preserve">in-pepsi</t>
  </si>
  <si>
    <t xml:space="preserve">Pepsi</t>
  </si>
  <si>
    <t xml:space="preserve">8902080104581</t>
  </si>
  <si>
    <t xml:space="preserve">in-limca</t>
  </si>
  <si>
    <t xml:space="preserve">Limca</t>
  </si>
  <si>
    <t xml:space="preserve">Limca Lime 'n' Lemoni</t>
  </si>
  <si>
    <t xml:space="preserve">8901764052279</t>
  </si>
  <si>
    <t xml:space="preserve">in-mountain-dew</t>
  </si>
  <si>
    <t xml:space="preserve">Mountain Dew</t>
  </si>
  <si>
    <t xml:space="preserve">8902080364022</t>
  </si>
  <si>
    <t xml:space="preserve">in-mirinda</t>
  </si>
  <si>
    <t xml:space="preserve">Mirinda</t>
  </si>
  <si>
    <t xml:space="preserve">Mirinda Orange</t>
  </si>
  <si>
    <t xml:space="preserve">8902080001170</t>
  </si>
  <si>
    <t xml:space="preserve">in-appy-fizz</t>
  </si>
  <si>
    <t xml:space="preserve">Appy Fizz</t>
  </si>
  <si>
    <t xml:space="preserve">Appy Fizz Sparkling Apple Drink</t>
  </si>
  <si>
    <t xml:space="preserve">8902579002039</t>
  </si>
  <si>
    <t xml:space="preserve">in-sting</t>
  </si>
  <si>
    <t xml:space="preserve">Sting</t>
  </si>
  <si>
    <t xml:space="preserve">Sting Energy Drink</t>
  </si>
  <si>
    <t xml:space="preserve">8902080495023</t>
  </si>
  <si>
    <t xml:space="preserve">in-red-bull</t>
  </si>
  <si>
    <t xml:space="preserve">Red Bull</t>
  </si>
  <si>
    <t xml:space="preserve">Red Bull Energy Drink</t>
  </si>
  <si>
    <t xml:space="preserve">Maker's published label</t>
  </si>
  <si>
    <t xml:space="preserve">in-tropicana-orange</t>
  </si>
  <si>
    <t xml:space="preserve">Tropicana</t>
  </si>
  <si>
    <t xml:space="preserve">Orange Delight</t>
  </si>
  <si>
    <t xml:space="preserve">8902080002085</t>
  </si>
  <si>
    <t xml:space="preserve">in-b-natural-orange</t>
  </si>
  <si>
    <t xml:space="preserve">B Natural</t>
  </si>
  <si>
    <t xml:space="preserve">Orange Juice</t>
  </si>
  <si>
    <t xml:space="preserve">8901725100131</t>
  </si>
  <si>
    <t xml:space="preserve">in-real-coconut</t>
  </si>
  <si>
    <t xml:space="preserve">Real Activ</t>
  </si>
  <si>
    <t xml:space="preserve">Coconut Water</t>
  </si>
  <si>
    <t xml:space="preserve">8901207032677</t>
  </si>
  <si>
    <t xml:space="preserve">in-amul-kool-elaichi</t>
  </si>
  <si>
    <t xml:space="preserve">Kool Elaichi Milk</t>
  </si>
  <si>
    <t xml:space="preserve">8901262152228</t>
  </si>
  <si>
    <t xml:space="preserve">in-amul-lassi</t>
  </si>
  <si>
    <t xml:space="preserve">Lassi</t>
  </si>
  <si>
    <t xml:space="preserve">8901262200189</t>
  </si>
  <si>
    <t xml:space="preserve">in-amul-masti-chaas</t>
  </si>
  <si>
    <t xml:space="preserve">Masti Spiced Buttermilk</t>
  </si>
  <si>
    <t xml:space="preserve">8901262200196</t>
  </si>
  <si>
    <t xml:space="preserve">in-glucon-d</t>
  </si>
  <si>
    <t xml:space="preserve">Glucon-D</t>
  </si>
  <si>
    <t xml:space="preserve">Glucon-D Regular</t>
  </si>
  <si>
    <t xml:space="preserve">8901542016226</t>
  </si>
  <si>
    <t xml:space="preserve">in-tang-orange</t>
  </si>
  <si>
    <t xml:space="preserve">Tang</t>
  </si>
  <si>
    <t xml:space="preserve">Orange Drink Powder</t>
  </si>
  <si>
    <t xml:space="preserve">7622202051647</t>
  </si>
  <si>
    <t xml:space="preserve">in-haldiram-bhujia-sev</t>
  </si>
  <si>
    <t xml:space="preserve">Bhujia Sev</t>
  </si>
  <si>
    <t xml:space="preserve">8904004400083</t>
  </si>
  <si>
    <t xml:space="preserve">in-haldiram-khatta-meetha</t>
  </si>
  <si>
    <t xml:space="preserve">Khatta Meetha</t>
  </si>
  <si>
    <t xml:space="preserve">8906070320135</t>
  </si>
  <si>
    <t xml:space="preserve">peanut</t>
  </si>
  <si>
    <t xml:space="preserve">in-uncle-chipps</t>
  </si>
  <si>
    <t xml:space="preserve">Uncle Chipps</t>
  </si>
  <si>
    <t xml:space="preserve">Plain Salted</t>
  </si>
  <si>
    <t xml:space="preserve">8901491435000</t>
  </si>
  <si>
    <t xml:space="preserve">in-bingo-tedhe-medhe</t>
  </si>
  <si>
    <t xml:space="preserve">Tedhe Medhe Masala Tadka</t>
  </si>
  <si>
    <t xml:space="preserve">8901725118914</t>
  </si>
  <si>
    <t xml:space="preserve">in-too-yumm-karare</t>
  </si>
  <si>
    <t xml:space="preserve">Too Yumm!</t>
  </si>
  <si>
    <t xml:space="preserve">Karare Masala Blast</t>
  </si>
  <si>
    <t xml:space="preserve">8906090574495</t>
  </si>
  <si>
    <t xml:space="preserve">in-pringles-original</t>
  </si>
  <si>
    <t xml:space="preserve">Pringles</t>
  </si>
  <si>
    <t xml:space="preserve">Original</t>
  </si>
  <si>
    <t xml:space="preserve">8886467122392</t>
  </si>
  <si>
    <t xml:space="preserve">in-hide-and-seek</t>
  </si>
  <si>
    <t xml:space="preserve">Hide &amp; Seek Chocolate Chip Cookies</t>
  </si>
  <si>
    <t xml:space="preserve">8901719130144</t>
  </si>
  <si>
    <t xml:space="preserve">in-bourbon</t>
  </si>
  <si>
    <t xml:space="preserve">Bourbon</t>
  </si>
  <si>
    <t xml:space="preserve">8901063139336</t>
  </si>
  <si>
    <t xml:space="preserve">in-oreo</t>
  </si>
  <si>
    <t xml:space="preserve">Oreo</t>
  </si>
  <si>
    <t xml:space="preserve">Vanilla Creme Biscuits</t>
  </si>
  <si>
    <t xml:space="preserve">7622201428501</t>
  </si>
  <si>
    <t xml:space="preserve">gluten, soy</t>
  </si>
  <si>
    <t xml:space="preserve">in-jim-jam</t>
  </si>
  <si>
    <t xml:space="preserve">Jim Jam</t>
  </si>
  <si>
    <t xml:space="preserve">8901063029217</t>
  </si>
  <si>
    <t xml:space="preserve">in-dark-fantasy</t>
  </si>
  <si>
    <t xml:space="preserve">Sunfeast</t>
  </si>
  <si>
    <t xml:space="preserve">Dark Fantasy Choco Fills</t>
  </si>
  <si>
    <t xml:space="preserve">8901725132873</t>
  </si>
  <si>
    <t xml:space="preserve">gluten, milk, soy</t>
  </si>
  <si>
    <t xml:space="preserve">in-moms-magic</t>
  </si>
  <si>
    <t xml:space="preserve">Mom's Magic Cashew &amp; Almond</t>
  </si>
  <si>
    <t xml:space="preserve">8901725007652</t>
  </si>
  <si>
    <t xml:space="preserve">in-milk-bikis</t>
  </si>
  <si>
    <t xml:space="preserve">Milk Bikis</t>
  </si>
  <si>
    <t xml:space="preserve">8901063012530</t>
  </si>
  <si>
    <t xml:space="preserve">in-nutrichoice-digestive</t>
  </si>
  <si>
    <t xml:space="preserve">NutriChoice Digestive</t>
  </si>
  <si>
    <t xml:space="preserve">8901063142022</t>
  </si>
  <si>
    <t xml:space="preserve">in-unibic-cashew</t>
  </si>
  <si>
    <t xml:space="preserve">Unibic</t>
  </si>
  <si>
    <t xml:space="preserve">Cashew Cookies</t>
  </si>
  <si>
    <t xml:space="preserve">8906009078021</t>
  </si>
  <si>
    <t xml:space="preserve">in-munch</t>
  </si>
  <si>
    <t xml:space="preserve">Nestlé</t>
  </si>
  <si>
    <t xml:space="preserve">Munch</t>
  </si>
  <si>
    <t xml:space="preserve">8901058000702</t>
  </si>
  <si>
    <t xml:space="preserve">in-perk</t>
  </si>
  <si>
    <t xml:space="preserve">Perk</t>
  </si>
  <si>
    <t xml:space="preserve">7622201758639</t>
  </si>
  <si>
    <t xml:space="preserve">in-gems</t>
  </si>
  <si>
    <t xml:space="preserve">Gems</t>
  </si>
  <si>
    <t xml:space="preserve">Sweets</t>
  </si>
  <si>
    <t xml:space="preserve">7622201798260</t>
  </si>
  <si>
    <t xml:space="preserve">in-kitkat</t>
  </si>
  <si>
    <t xml:space="preserve">KitKat</t>
  </si>
  <si>
    <t xml:space="preserve">8901058868036</t>
  </si>
  <si>
    <t xml:space="preserve">in-nutella</t>
  </si>
  <si>
    <t xml:space="preserve">Nutella</t>
  </si>
  <si>
    <t xml:space="preserve">Hazelnut Spread with Cocoa</t>
  </si>
  <si>
    <t xml:space="preserve">Spreads</t>
  </si>
  <si>
    <t xml:space="preserve">milk, tree nuts, soy</t>
  </si>
  <si>
    <t xml:space="preserve">in-kissan-jam</t>
  </si>
  <si>
    <t xml:space="preserve">Mixed Fruit Jam</t>
  </si>
  <si>
    <t xml:space="preserve">8901030922787</t>
  </si>
  <si>
    <t xml:space="preserve">in-top-ramen-curry</t>
  </si>
  <si>
    <t xml:space="preserve">Nissin</t>
  </si>
  <si>
    <t xml:space="preserve">Top Ramen Curry Noodles</t>
  </si>
  <si>
    <t xml:space="preserve">8901014003181</t>
  </si>
  <si>
    <t xml:space="preserve">in-maggi-atta</t>
  </si>
  <si>
    <t xml:space="preserve">Atta Noodles Masala</t>
  </si>
  <si>
    <t xml:space="preserve">8901058858860</t>
  </si>
  <si>
    <t xml:space="preserve">in-corn-flakes</t>
  </si>
  <si>
    <t xml:space="preserve">Corn Flakes Original</t>
  </si>
  <si>
    <t xml:space="preserve">8901499008183</t>
  </si>
  <si>
    <t xml:space="preserve">in-quaker-oats</t>
  </si>
  <si>
    <t xml:space="preserve">Quaker</t>
  </si>
  <si>
    <t xml:space="preserve">Oats</t>
  </si>
  <si>
    <t xml:space="preserve">8901491103794</t>
  </si>
  <si>
    <t xml:space="preserve">in-saffola-oats</t>
  </si>
  <si>
    <t xml:space="preserve">Oats (plain)</t>
  </si>
  <si>
    <t xml:space="preserve">8901088213608</t>
  </si>
  <si>
    <t xml:space="preserve">in-amul-cheese-slices</t>
  </si>
  <si>
    <t xml:space="preserve">Cheese Slices</t>
  </si>
  <si>
    <t xml:space="preserve">8901262020015</t>
  </si>
  <si>
    <t xml:space="preserve">in-epigamia-mishti-doi</t>
  </si>
  <si>
    <t xml:space="preserve">Epigamia</t>
  </si>
  <si>
    <t xml:space="preserve">Mishti Doi</t>
  </si>
  <si>
    <t xml:space="preserve">8906059638329</t>
  </si>
  <si>
    <t xml:space="preserve">Food</t>
  </si>
  <si>
    <t xml:space="preserve">Serving</t>
  </si>
  <si>
    <t xml:space="preserve">kcal</t>
  </si>
  <si>
    <t xml:space="preserve">Roti / chapati</t>
  </si>
  <si>
    <t xml:space="preserve">1 piece (40 g)</t>
  </si>
  <si>
    <t xml:space="preserve">Phulka</t>
  </si>
  <si>
    <t xml:space="preserve">1 piece (30 g)</t>
  </si>
  <si>
    <t xml:space="preserve">Plain paratha</t>
  </si>
  <si>
    <t xml:space="preserve">1 piece (70 g)</t>
  </si>
  <si>
    <t xml:space="preserve">Steamed rice</t>
  </si>
  <si>
    <t xml:space="preserve">1 katori (150 g)</t>
  </si>
  <si>
    <t xml:space="preserve">Jeera rice</t>
  </si>
  <si>
    <t xml:space="preserve">Dal tadka</t>
  </si>
  <si>
    <t xml:space="preserve">Rajma</t>
  </si>
  <si>
    <t xml:space="preserve">Chole</t>
  </si>
  <si>
    <t xml:space="preserve">Paneer butter masala</t>
  </si>
  <si>
    <t xml:space="preserve">Palak paneer</t>
  </si>
  <si>
    <t xml:space="preserve">Aloo sabzi</t>
  </si>
  <si>
    <t xml:space="preserve">Bhindi sabzi</t>
  </si>
  <si>
    <t xml:space="preserve">1 katori (120 g)</t>
  </si>
  <si>
    <t xml:space="preserve">Curd / dahi</t>
  </si>
  <si>
    <t xml:space="preserve">1 katori (100 g)</t>
  </si>
  <si>
    <t xml:space="preserve">Raita</t>
  </si>
  <si>
    <t xml:space="preserve">Papad (roasted)</t>
  </si>
  <si>
    <t xml:space="preserve">1 piece</t>
  </si>
  <si>
    <t xml:space="preserve">Papad (fried)</t>
  </si>
  <si>
    <t xml:space="preserve">Pickle (achar)</t>
  </si>
  <si>
    <t xml:space="preserve">1 tbsp (15 g)</t>
  </si>
  <si>
    <t xml:space="preserve">Gulab jamun</t>
  </si>
  <si>
    <t xml:space="preserve">Poha</t>
  </si>
  <si>
    <t xml:space="preserve">1 plate (150 g)</t>
  </si>
  <si>
    <t xml:space="preserve">Upma</t>
  </si>
  <si>
    <t xml:space="preserve">Idli</t>
  </si>
  <si>
    <t xml:space="preserve">2 pieces</t>
  </si>
  <si>
    <t xml:space="preserve">Plain dosa</t>
  </si>
  <si>
    <t xml:space="preserve">Sambar</t>
  </si>
  <si>
    <t xml:space="preserve">Vada pav</t>
  </si>
  <si>
    <t xml:space="preserve">Pav bhaji</t>
  </si>
  <si>
    <t xml:space="preserve">1 plate</t>
  </si>
  <si>
    <t xml:space="preserve">Samosa</t>
  </si>
  <si>
    <t xml:space="preserve">Banana</t>
  </si>
  <si>
    <t xml:space="preserve">1 medium</t>
  </si>
  <si>
    <t xml:space="preserve">Apple</t>
  </si>
  <si>
    <t xml:space="preserve">Mango</t>
  </si>
  <si>
    <t xml:space="preserve">1 cup (165 g)</t>
  </si>
  <si>
    <t xml:space="preserve">Guava</t>
  </si>
  <si>
    <t xml:space="preserve">Papaya</t>
  </si>
  <si>
    <t xml:space="preserve">1 cup (145 g)</t>
  </si>
  <si>
    <t xml:space="preserve">Additive</t>
  </si>
  <si>
    <t xml:space="preserve">Codes / words matched</t>
  </si>
  <si>
    <t xml:space="preserve">What it is</t>
  </si>
  <si>
    <t xml:space="preserve">Concern (1-3)</t>
  </si>
  <si>
    <t xml:space="preserve">Note</t>
  </si>
  <si>
    <t xml:space="preserve">Disodium guanylate (627)</t>
  </si>
  <si>
    <t xml:space="preserve">627</t>
  </si>
  <si>
    <t xml:space="preserve">Flavour enhancer that boosts savoury taste, usually used with MSG-type seasonings.</t>
  </si>
  <si>
    <t xml:space="preserve">Can be made from fish or meat — check the green dot if you are vegetarian/Jain.</t>
  </si>
  <si>
    <t xml:space="preserve">Disodium inosinate (631)</t>
  </si>
  <si>
    <t xml:space="preserve">631</t>
  </si>
  <si>
    <t xml:space="preserve">Flavour enhancer that works with 627 to make snacks taste "moreish".</t>
  </si>
  <si>
    <t xml:space="preserve">Often animal-derived — check the green dot.</t>
  </si>
  <si>
    <t xml:space="preserve">Ribonucleotides (635)</t>
  </si>
  <si>
    <t xml:space="preserve">635</t>
  </si>
  <si>
    <t xml:space="preserve">Mix of 627 + 631 flavour enhancers.</t>
  </si>
  <si>
    <t xml:space="preserve">May be animal-derived.</t>
  </si>
  <si>
    <t xml:space="preserve">Monosodium glutamate (621)</t>
  </si>
  <si>
    <t xml:space="preserve">621, msg, monosodium glutamate</t>
  </si>
  <si>
    <t xml:space="preserve">Flavour enhancer (MSG). Safe in normal amounts but adds sodium.</t>
  </si>
  <si>
    <t xml:space="preserve">Maltodextrin</t>
  </si>
  <si>
    <t xml:space="preserve">maltodextrin</t>
  </si>
  <si>
    <t xml:space="preserve">Highly processed starch powder used to carry flavour. Raises blood sugar quickly.</t>
  </si>
  <si>
    <t xml:space="preserve">Hydrolysed vegetable protein</t>
  </si>
  <si>
    <t xml:space="preserve">hydrolysed vegetable protein, hvp</t>
  </si>
  <si>
    <t xml:space="preserve">Protein broken down to give a meaty/savoury taste. Sign of ultra-processing.</t>
  </si>
  <si>
    <t xml:space="preserve">Flavouring substances</t>
  </si>
  <si>
    <t xml:space="preserve">flavouring substances, flavour, flavor</t>
  </si>
  <si>
    <t xml:space="preserve">Added flavours (natural, nature-identical or artificial). Exact chemicals are not listed.</t>
  </si>
  <si>
    <t xml:space="preserve">Permitted colour</t>
  </si>
  <si>
    <t xml:space="preserve">permitted colour, colour</t>
  </si>
  <si>
    <t xml:space="preserve">Added colour to make the food look brighter. Not needed for nutrition.</t>
  </si>
  <si>
    <t xml:space="preserve">Caramel colour (150c/150d)</t>
  </si>
  <si>
    <t xml:space="preserve">150d, 150c</t>
  </si>
  <si>
    <t xml:space="preserve">Brown colour used in colas and malt drinks.</t>
  </si>
  <si>
    <t xml:space="preserve">Tartrazine (102)</t>
  </si>
  <si>
    <t xml:space="preserve">102, tartrazine</t>
  </si>
  <si>
    <t xml:space="preserve">Yellow artificial colour. Linked to hyperactivity in some children.</t>
  </si>
  <si>
    <t xml:space="preserve">Sunset Yellow (110)</t>
  </si>
  <si>
    <t xml:space="preserve">110, sunset yellow</t>
  </si>
  <si>
    <t xml:space="preserve">Orange artificial colour. Linked to hyperactivity in some children.</t>
  </si>
  <si>
    <t xml:space="preserve">Acidity regulator (e.g. citric acid 330)</t>
  </si>
  <si>
    <t xml:space="preserve">acidity regulator, 330, citric acid</t>
  </si>
  <si>
    <t xml:space="preserve">Gives sourness and keeps flavour stable. Generally safe.</t>
  </si>
  <si>
    <t xml:space="preserve">Malic acid (296)</t>
  </si>
  <si>
    <t xml:space="preserve">296</t>
  </si>
  <si>
    <t xml:space="preserve">Sour taste from fruit acid. Generally safe.</t>
  </si>
  <si>
    <t xml:space="preserve">Phosphoric acid (338)</t>
  </si>
  <si>
    <t xml:space="preserve">338, phosphoric acid</t>
  </si>
  <si>
    <t xml:space="preserve">Acid in colas. Too much may affect teeth and bones.</t>
  </si>
  <si>
    <t xml:space="preserve">Anticaking agent (e.g. 551)</t>
  </si>
  <si>
    <t xml:space="preserve">anticaking, 551</t>
  </si>
  <si>
    <t xml:space="preserve">Stops powders from clumping. Generally safe.</t>
  </si>
  <si>
    <t xml:space="preserve">Raising agents (500/501/503)</t>
  </si>
  <si>
    <t xml:space="preserve">500, 501, 503, raising agent</t>
  </si>
  <si>
    <t xml:space="preserve">Baking soda / ammonium bicarbonate to make biscuits light. Safe.</t>
  </si>
  <si>
    <t xml:space="preserve">Emulsifiers (322/442/476/471)</t>
  </si>
  <si>
    <t xml:space="preserve">emulsifier, 322, 442, 476, 471, lecithin</t>
  </si>
  <si>
    <t xml:space="preserve">Help oil and water mix. Common in chocolates and biscuits.</t>
  </si>
  <si>
    <t xml:space="preserve">Thickeners/stabilisers</t>
  </si>
  <si>
    <t xml:space="preserve">412, 508, 1422, thickener, stabilizer</t>
  </si>
  <si>
    <t xml:space="preserve">Make texture smooth or thick (guar gum 412, etc.).</t>
  </si>
  <si>
    <t xml:space="preserve">Preservative (e.g. sodium benzoate 211)</t>
  </si>
  <si>
    <t xml:space="preserve">211, sodium benzoate, preservative</t>
  </si>
  <si>
    <t xml:space="preserve">Stops spoilage. Best limited, especially in drinks for kids.</t>
  </si>
  <si>
    <t xml:space="preserve">Antioxidant (Vitamin C, 300)</t>
  </si>
  <si>
    <t xml:space="preserve">300, antioxidant, ascorbic</t>
  </si>
  <si>
    <t xml:space="preserve">Keeps colour and flavour fresh. Safe.</t>
  </si>
  <si>
    <t xml:space="preserve">Acetic acid (260)</t>
  </si>
  <si>
    <t xml:space="preserve">260, acetic</t>
  </si>
  <si>
    <t xml:space="preserve">Vinegar acid. Safe.</t>
  </si>
  <si>
    <t xml:space="preserve">Palm oil / palmolein</t>
  </si>
  <si>
    <t xml:space="preserve">palmolein, palm oil</t>
  </si>
  <si>
    <t xml:space="preserve">Cheap frying oil high in saturated fat.</t>
  </si>
  <si>
    <t xml:space="preserve">caffeine</t>
  </si>
  <si>
    <t xml:space="preserve">Stimulant. Not recommended for children or in pregnancy in large amounts.</t>
  </si>
  <si>
    <t xml:space="preserve">Added sugar syrups</t>
  </si>
  <si>
    <t xml:space="preserve">invert sugar, liquid glucose, dextrose, glucose syrup</t>
  </si>
  <si>
    <t xml:space="preserve">Hidden forms of sugar.</t>
  </si>
  <si>
    <t xml:space="preserve">Artificial sweetener</t>
  </si>
  <si>
    <t xml:space="preserve">sucralose, 955, aspartame, 951, acesulfame, 950</t>
  </si>
  <si>
    <t xml:space="preserve">Zero-calorie sweetener. Not advised for young children.</t>
  </si>
  <si>
    <t xml:space="preserve">Meal</t>
  </si>
  <si>
    <t xml:space="preserve">Diet</t>
  </si>
  <si>
    <t xml:space="preserve">Instead of</t>
  </si>
  <si>
    <t xml:space="preserve">Try this</t>
  </si>
  <si>
    <t xml:space="preserve">Why</t>
  </si>
  <si>
    <t xml:space="preserve">breakfast</t>
  </si>
  <si>
    <t xml:space="preserve">veg</t>
  </si>
  <si>
    <t xml:space="preserve">Aloo paratha with butter</t>
  </si>
  <si>
    <t xml:space="preserve">Besan chilla with curd</t>
  </si>
  <si>
    <t xml:space="preserve">Less butter and oil, and besan adds protein that keeps you full till lunch.</t>
  </si>
  <si>
    <t xml:space="preserve">egg</t>
  </si>
  <si>
    <t xml:space="preserve">Bread omelette fried in butter</t>
  </si>
  <si>
    <t xml:space="preserve">Masala omelette with veggies and roti</t>
  </si>
  <si>
    <t xml:space="preserve">Same eggs, more onion, tomato and capsicum, and whole-wheat roti instead of buttered white bread.</t>
  </si>
  <si>
    <t xml:space="preserve">White bread with jam</t>
  </si>
  <si>
    <t xml:space="preserve">Vegetable upma</t>
  </si>
  <si>
    <t xml:space="preserve">Jam is mostly sugar. Upma with veggies gives slow energy for school or work.</t>
  </si>
  <si>
    <t xml:space="preserve">Puri bhaji</t>
  </si>
  <si>
    <t xml:space="preserve">Idli sambar</t>
  </si>
  <si>
    <t xml:space="preserve">Steamed idli instead of deep-fried puri, and sambar adds dal and vegetables.</t>
  </si>
  <si>
    <t xml:space="preserve">nonveg</t>
  </si>
  <si>
    <t xml:space="preserve">Fried chicken nuggets</t>
  </si>
  <si>
    <t xml:space="preserve">Chicken sandwich on whole-wheat bread</t>
  </si>
  <si>
    <t xml:space="preserve">Nuggets are breaded and deep-fried. Plain cooked chicken gives the same protein with far less oil.</t>
  </si>
  <si>
    <t xml:space="preserve">Medu vada</t>
  </si>
  <si>
    <t xml:space="preserve">Pesarattu (moong dosa)</t>
  </si>
  <si>
    <t xml:space="preserve">Vada soaks up oil. Pesarattu is made from whole moong, rich in protein and fibre.</t>
  </si>
  <si>
    <t xml:space="preserve">Kachori</t>
  </si>
  <si>
    <t xml:space="preserve">Kanda poha</t>
  </si>
  <si>
    <t xml:space="preserve">Kachori is deep-fried maida. Poha is light, and peanuts and peas make it filling.</t>
  </si>
  <si>
    <t xml:space="preserve">Egg puff</t>
  </si>
  <si>
    <t xml:space="preserve">Two boiled eggs</t>
  </si>
  <si>
    <t xml:space="preserve">Puff pastry is full of fat. Boiled eggs are pure protein with nothing added.</t>
  </si>
  <si>
    <t xml:space="preserve">Instant noodles</t>
  </si>
  <si>
    <t xml:space="preserve">Oats upma</t>
  </si>
  <si>
    <t xml:space="preserve">Instant noodles are high in salt and refined flour. Oats give fibre and steady energy.</t>
  </si>
  <si>
    <t xml:space="preserve">Masala dosa with extra butter</t>
  </si>
  <si>
    <t xml:space="preserve">Ragi dosa</t>
  </si>
  <si>
    <t xml:space="preserve">Ragi is a millet rich in calcium and fibre. Skip the extra butter.</t>
  </si>
  <si>
    <t xml:space="preserve">Cream biscuits with chai</t>
  </si>
  <si>
    <t xml:space="preserve">Oats porridge with fruit</t>
  </si>
  <si>
    <t xml:space="preserve">Cream biscuits are sugar and palm oil. Oats with banana or apple is a real breakfast.</t>
  </si>
  <si>
    <t xml:space="preserve">Egg bhurji with buttered pav</t>
  </si>
  <si>
    <t xml:space="preserve">Egg bhurji with whole-wheat roti</t>
  </si>
  <si>
    <t xml:space="preserve">Keep the bhurji, swap maida pav and butter for roti.</t>
  </si>
  <si>
    <t xml:space="preserve">Steamed dhokla</t>
  </si>
  <si>
    <t xml:space="preserve">Steamed instead of deep-fried, and besan gives extra protein.</t>
  </si>
  <si>
    <t xml:space="preserve">Methi thepla with curd</t>
  </si>
  <si>
    <t xml:space="preserve">Thepla is whole wheat with methi leaves. Vada pav is fried potato inside maida bread.</t>
  </si>
  <si>
    <t xml:space="preserve">lunch</t>
  </si>
  <si>
    <t xml:space="preserve">Chole bhature</t>
  </si>
  <si>
    <t xml:space="preserve">Chana masala with roti</t>
  </si>
  <si>
    <t xml:space="preserve">Keep the chole. Swap the deep-fried bhatura for a roti and save a lot of oil.</t>
  </si>
  <si>
    <t xml:space="preserve">Butter chicken with butter naan</t>
  </si>
  <si>
    <t xml:space="preserve">Tandoori chicken with roti and salad</t>
  </si>
  <si>
    <t xml:space="preserve">Same chicken, without the cream and butter gravy. Grilled and high in protein.</t>
  </si>
  <si>
    <t xml:space="preserve">Pizza</t>
  </si>
  <si>
    <t xml:space="preserve">Rajma chawal</t>
  </si>
  <si>
    <t xml:space="preserve">Rajma with rice gives protein and fibre. Pizza is maida, cheese and salt.</t>
  </si>
  <si>
    <t xml:space="preserve">Spinach gravy instead of butter and cream, with iron and vitamins.</t>
  </si>
  <si>
    <t xml:space="preserve">Kolkata egg roll</t>
  </si>
  <si>
    <t xml:space="preserve">Egg curry with roti</t>
  </si>
  <si>
    <t xml:space="preserve">The roll uses a fried maida paratha. Egg curry with roti has the protein without the extra oil.</t>
  </si>
  <si>
    <t xml:space="preserve">Dal makhani</t>
  </si>
  <si>
    <t xml:space="preserve">Dal tadka with chapati</t>
  </si>
  <si>
    <t xml:space="preserve">Dal makhani is cooked with lots of butter and cream. Dal tadka has the same protein, much less fat.</t>
  </si>
  <si>
    <t xml:space="preserve">Aloo tikki burger</t>
  </si>
  <si>
    <t xml:space="preserve">Home-style veg thali</t>
  </si>
  <si>
    <t xml:space="preserve">A thali gives dal, sabzi, roti and rice: a balanced plate instead of a fried patty in a white bun.</t>
  </si>
  <si>
    <t xml:space="preserve">Restaurant chicken biryani</t>
  </si>
  <si>
    <t xml:space="preserve">Kerala fish curry with rice</t>
  </si>
  <si>
    <t xml:space="preserve">Fish gives healthy omega-3 fats. Restaurant biryani is heavy on ghee and oil.</t>
  </si>
  <si>
    <t xml:space="preserve">Pav bhaji with butter</t>
  </si>
  <si>
    <t xml:space="preserve">Sambar with rice</t>
  </si>
  <si>
    <t xml:space="preserve">Sambar is dal and vegetables with little oil. Pav bhaji is cooked in a lot of butter.</t>
  </si>
  <si>
    <t xml:space="preserve">Malabar porotta</t>
  </si>
  <si>
    <t xml:space="preserve">Jowar roti</t>
  </si>
  <si>
    <t xml:space="preserve">Porotta is layered maida and oil. Jowar is a millet with fibre and iron.</t>
  </si>
  <si>
    <t xml:space="preserve">Fish fry and chips</t>
  </si>
  <si>
    <t xml:space="preserve">Tandoori fish tikka</t>
  </si>
  <si>
    <t xml:space="preserve">Grilled fish keeps the protein and good fats without deep frying.</t>
  </si>
  <si>
    <t xml:space="preserve">French fries on the side</t>
  </si>
  <si>
    <t xml:space="preserve">Cucumber raita</t>
  </si>
  <si>
    <t xml:space="preserve">Raita cools you down and adds protein from curd. Fries add oil and salt.</t>
  </si>
  <si>
    <t xml:space="preserve">Kadhi pakora</t>
  </si>
  <si>
    <t xml:space="preserve">Mixed vegetable sabzi with roti</t>
  </si>
  <si>
    <t xml:space="preserve">The pakoras are deep-fried. A mixed sabzi gives you many vegetables in one bowl.</t>
  </si>
  <si>
    <t xml:space="preserve">dinner</t>
  </si>
  <si>
    <t xml:space="preserve">Hakka noodles and Manchurian</t>
  </si>
  <si>
    <t xml:space="preserve">Vegetable pulao with raita</t>
  </si>
  <si>
    <t xml:space="preserve">Manchurian is fried and the sauces are very salty. Pulao is lighter for night.</t>
  </si>
  <si>
    <t xml:space="preserve">Chilli chicken</t>
  </si>
  <si>
    <t xml:space="preserve">Kerala chicken stew</t>
  </si>
  <si>
    <t xml:space="preserve">Chilli chicken is battered, fried and saucy. The stew is gentle and light for dinner.</t>
  </si>
  <si>
    <t xml:space="preserve">White sauce pasta</t>
  </si>
  <si>
    <t xml:space="preserve">Moong dal khichdi</t>
  </si>
  <si>
    <t xml:space="preserve">Khichdi is easy to digest at night. White sauce is butter, maida and cheese.</t>
  </si>
  <si>
    <t xml:space="preserve">Malai kofta</t>
  </si>
  <si>
    <t xml:space="preserve">Baingan bharta with roti</t>
  </si>
  <si>
    <t xml:space="preserve">Koftas are fried and the gravy is cream. Roasted baingan is smoky, light and full of fibre.</t>
  </si>
  <si>
    <t xml:space="preserve">Egg fried rice</t>
  </si>
  <si>
    <t xml:space="preserve">Less oil and soy sauce salt, same egg protein.</t>
  </si>
  <si>
    <t xml:space="preserve">Shahi paneer with butter naan</t>
  </si>
  <si>
    <t xml:space="preserve">Grilled paneer tikka</t>
  </si>
  <si>
    <t xml:space="preserve">Grilled paneer and veggies instead of a cream gravy and buttered maida naan.</t>
  </si>
  <si>
    <t xml:space="preserve">Onion pakora</t>
  </si>
  <si>
    <t xml:space="preserve">Hot vegetable soup</t>
  </si>
  <si>
    <t xml:space="preserve">Pakoras are deep-fried. A bowl of soup warms you up with almost no oil.</t>
  </si>
  <si>
    <t xml:space="preserve">Chicken lollipop</t>
  </si>
  <si>
    <t xml:space="preserve">Chicken hariyali kebab</t>
  </si>
  <si>
    <t xml:space="preserve">Lollipops are coated and deep-fried. Kebabs are marinated in mint and grilled.</t>
  </si>
  <si>
    <t xml:space="preserve">Chilli paneer</t>
  </si>
  <si>
    <t xml:space="preserve">Paneer bhurji with roti</t>
  </si>
  <si>
    <t xml:space="preserve">Same paneer protein without the fried coating and salty sauces.</t>
  </si>
  <si>
    <t xml:space="preserve">Loaded nachos</t>
  </si>
  <si>
    <t xml:space="preserve">Sprouts salad with corn</t>
  </si>
  <si>
    <t xml:space="preserve">Sprouts give crunch, protein and fibre. Nachos are fried chips with cheese sauce.</t>
  </si>
  <si>
    <t xml:space="preserve">Pomfret rawa fry</t>
  </si>
  <si>
    <t xml:space="preserve">Meen curry (fish curry)</t>
  </si>
  <si>
    <t xml:space="preserve">Cooked in a light coconut and tamarind gravy instead of shallow frying.</t>
  </si>
  <si>
    <t xml:space="preserve">Garlic bread</t>
  </si>
  <si>
    <t xml:space="preserve">Dal palak with roti</t>
  </si>
  <si>
    <t xml:space="preserve">Dal with spinach gives protein and iron. Garlic bread is maida and butter.</t>
  </si>
  <si>
    <t xml:space="preserve">Vegetable fried rice</t>
  </si>
  <si>
    <t xml:space="preserve">Tomato rasam with rice</t>
  </si>
  <si>
    <t xml:space="preserve">Rasam is light, tangy and good for digestion at night.</t>
  </si>
  <si>
    <t xml:space="preserve">Fried chicken</t>
  </si>
  <si>
    <t xml:space="preserve">Chicken soup</t>
  </si>
  <si>
    <t xml:space="preserve">Soup keeps the chicken protein with very little oil.</t>
  </si>
  <si>
    <t xml:space="preserve">Cheese pizza</t>
  </si>
  <si>
    <t xml:space="preserve">Matar paneer with roti</t>
  </si>
  <si>
    <t xml:space="preserve">Peas and paneer give protein. Pizza is mostly cheese and refined flour.</t>
  </si>
  <si>
    <t xml:space="preserve">Group</t>
  </si>
  <si>
    <t xml:space="preserve">snacks</t>
  </si>
  <si>
    <t xml:space="preserve">Salted potato chips</t>
  </si>
  <si>
    <t xml:space="preserve">Roasted chana</t>
  </si>
  <si>
    <t xml:space="preserve">Fried and salty vs roasted, with protein and fibre that keep you full.</t>
  </si>
  <si>
    <t xml:space="preserve">Kurkure or masala puffs</t>
  </si>
  <si>
    <t xml:space="preserve">Roasted makhana</t>
  </si>
  <si>
    <t xml:space="preserve">Makhana is light and crunchy, with far less oil and salt.</t>
  </si>
  <si>
    <t xml:space="preserve">Aloo bhujia or namkeen mix</t>
  </si>
  <si>
    <t xml:space="preserve">Sprouts chaat</t>
  </si>
  <si>
    <t xml:space="preserve">Namkeen is deep-fried and very salty. Sprouts give protein, fibre and crunch.</t>
  </si>
  <si>
    <t xml:space="preserve">Steamed instead of deep-fried, made from besan for extra protein.</t>
  </si>
  <si>
    <t xml:space="preserve">Cream biscuits</t>
  </si>
  <si>
    <t xml:space="preserve">Banana and a handful of peanuts</t>
  </si>
  <si>
    <t xml:space="preserve">Cream biscuits are mostly sugar and palm oil. This gives real energy and protein.</t>
  </si>
  <si>
    <t xml:space="preserve">Milk chocolate bar</t>
  </si>
  <si>
    <t xml:space="preserve">Dates with almonds</t>
  </si>
  <si>
    <t xml:space="preserve">Naturally sweet, with fibre and healthy fats instead of added sugar.</t>
  </si>
  <si>
    <t xml:space="preserve">sweets</t>
  </si>
  <si>
    <t xml:space="preserve">Fresh fruit chaat</t>
  </si>
  <si>
    <t xml:space="preserve">Gulab jamun is fried and soaked in sugar syrup. Fruit chaat is sweet, fresh and full of vitamins.</t>
  </si>
  <si>
    <t xml:space="preserve">Jalebi</t>
  </si>
  <si>
    <t xml:space="preserve">Dates and dry fruits</t>
  </si>
  <si>
    <t xml:space="preserve">Jalebi is fried and dipped in syrup. Dates satisfy a sweet craving with fibre.</t>
  </si>
  <si>
    <t xml:space="preserve">Kaju katli</t>
  </si>
  <si>
    <t xml:space="preserve">A few plain cashews and raisins</t>
  </si>
  <si>
    <t xml:space="preserve">Same cashews, without all the added sugar of the barfi.</t>
  </si>
  <si>
    <t xml:space="preserve">Rasgulla</t>
  </si>
  <si>
    <t xml:space="preserve">Plain dahi with fruit</t>
  </si>
  <si>
    <t xml:space="preserve">Rasgulla sits in sugar syrup. Dahi with fruit gives protein and gut-friendly curd.</t>
  </si>
  <si>
    <t xml:space="preserve">Ice cream</t>
  </si>
  <si>
    <t xml:space="preserve">Homemade fruit kulfi or frozen banana</t>
  </si>
  <si>
    <t xml:space="preserve">Less added sugar and no artificial flavours when you make it at home.</t>
  </si>
  <si>
    <t xml:space="preserve">Pastry or cream cake</t>
  </si>
  <si>
    <t xml:space="preserve">Baked shakarkandi chaat</t>
  </si>
  <si>
    <t xml:space="preserve">Sweet potato is naturally sweet and has fibre. Cakes are mostly refined flour, sugar and fat.</t>
  </si>
  <si>
    <t xml:space="preserve">drinks</t>
  </si>
  <si>
    <t xml:space="preserve">Cola or soft drink</t>
  </si>
  <si>
    <t xml:space="preserve">Nimbu pani with little sugar</t>
  </si>
  <si>
    <t xml:space="preserve">A can of cola has about 9 teaspoons of sugar. Nimbu pani is refreshing with far less.</t>
  </si>
  <si>
    <t xml:space="preserve">Packaged fruit juice</t>
  </si>
  <si>
    <t xml:space="preserve">A whole fruit</t>
  </si>
  <si>
    <t xml:space="preserve">Whole fruit keeps its fibre, so the sugar is absorbed slowly.</t>
  </si>
  <si>
    <t xml:space="preserve">Energy drink</t>
  </si>
  <si>
    <t xml:space="preserve">Coconut water</t>
  </si>
  <si>
    <t xml:space="preserve">Natural electrolytes without the caffeine and added sugar.</t>
  </si>
  <si>
    <t xml:space="preserve">Flavoured milkshake</t>
  </si>
  <si>
    <t xml:space="preserve">Plain milk blended with a banana</t>
  </si>
  <si>
    <t xml:space="preserve">Sweetness from fruit instead of syrup and flavouring.</t>
  </si>
  <si>
    <t xml:space="preserve">Sweet lassi</t>
  </si>
  <si>
    <t xml:space="preserve">Masala chaas</t>
  </si>
  <si>
    <t xml:space="preserve">Chaas cools and helps digestion, with almost no sugar.</t>
  </si>
  <si>
    <t xml:space="preserve">meals</t>
  </si>
  <si>
    <t xml:space="preserve">Vegetable poha or upma</t>
  </si>
  <si>
    <t xml:space="preserve">Instant noodles are high in salt and refined flour. Poha with veggies is light and filling.</t>
  </si>
  <si>
    <t xml:space="preserve">White bread sandwich</t>
  </si>
  <si>
    <t xml:space="preserve">Paneer or veg roti roll</t>
  </si>
  <si>
    <t xml:space="preserve">Whole-wheat roti and paneer give more fibre and protein.</t>
  </si>
  <si>
    <t xml:space="preserve">Sugary breakfast cereal</t>
  </si>
  <si>
    <t xml:space="preserve">Oats or dalia with fruit</t>
  </si>
  <si>
    <t xml:space="preserve">Whole grains without the added sugar coating.</t>
  </si>
  <si>
    <t xml:space="preserve">Pizza or burger</t>
  </si>
  <si>
    <t xml:space="preserve">Homemade besan chilla or veg frankie</t>
  </si>
  <si>
    <t xml:space="preserve">More veggies and protein, much less cheese, oil and refined flour.</t>
  </si>
  <si>
    <t xml:space="preserve">Restaurant butter-heavy curry</t>
  </si>
  <si>
    <t xml:space="preserve">Home-style dal and sabzi</t>
  </si>
  <si>
    <t xml:space="preserve">Same flavours with far less butter, cream and salt.</t>
  </si>
  <si>
    <t xml:space="preserve">Dish</t>
  </si>
  <si>
    <t xml:space="preserve">Salt (g)</t>
  </si>
  <si>
    <t xml:space="preserve">Verdict</t>
  </si>
  <si>
    <t xml:space="preserve">Tips</t>
  </si>
  <si>
    <t xml:space="preserve">Swap</t>
  </si>
  <si>
    <t xml:space="preserve">thali</t>
  </si>
  <si>
    <t xml:space="preserve">Veg thali</t>
  </si>
  <si>
    <t xml:space="preserve">2 roti, rice, dal, sabzi, curd</t>
  </si>
  <si>
    <t xml:space="preserve">A balanced plate: grains, dal for protein, sabzi and curd. | Go easy on the papad, pickle and extra ghee: that is where most of the salt and fat hide. | Make half the plate vegetables, as ICMR-NIN suggests.</t>
  </si>
  <si>
    <t xml:space="preserve">Extra papad and pickle -&gt; A bowl of salad or kachumber</t>
  </si>
  <si>
    <t xml:space="preserve">panipuri</t>
  </si>
  <si>
    <t xml:space="preserve">Pani puri</t>
  </si>
  <si>
    <t xml:space="preserve">6 puris</t>
  </si>
  <si>
    <t xml:space="preserve">Treat</t>
  </si>
  <si>
    <t xml:space="preserve">The puris are deep-fried and the sweet chutney adds sugar. | Street pani can carry germs: pick a stall that uses filtered water. | Fine as an occasional treat, not a meal.</t>
  </si>
  <si>
    <t xml:space="preserve">Pani puri -&gt; Sprouts chaat or a fruit chaat</t>
  </si>
  <si>
    <t xml:space="preserve">fruits</t>
  </si>
  <si>
    <t xml:space="preserve">Fresh fruit bowl</t>
  </si>
  <si>
    <t xml:space="preserve">1 bowl, about 200 g</t>
  </si>
  <si>
    <t xml:space="preserve">Fruit sugar comes with fibre, so it does not count as "free sugar" in WHO advice. | Eat whole fruit rather than juice to keep the fibre. | Pick seasonal fruit: it is fresher, cheaper and tastier.</t>
  </si>
  <si>
    <t xml:space="preserve">Packaged fruit juice -&gt; A whole fruit</t>
  </si>
  <si>
    <t xml:space="preserve">chips</t>
  </si>
  <si>
    <t xml:space="preserve">Salted chips</t>
  </si>
  <si>
    <t xml:space="preserve">1 small pack, 52 g</t>
  </si>
  <si>
    <t xml:space="preserve">Junk</t>
  </si>
  <si>
    <t xml:space="preserve">High in fat and salt for a small pack, with almost no protein or fibre. | Easy to overeat: the pack feels light but adds up fast. | Scan the packet to see its exact score.</t>
  </si>
  <si>
    <t xml:space="preserve">Salted potato chips -&gt; Roasted chana or makhana</t>
  </si>
  <si>
    <t xml:space="preserve">dosa</t>
  </si>
  <si>
    <t xml:space="preserve">Plain dosa with sambar</t>
  </si>
  <si>
    <t xml:space="preserve">1 dosa, sambar and chutney</t>
  </si>
  <si>
    <t xml:space="preserve">Fermented batter is easy to digest, and sambar adds dal and vegetables. | Ask for less oil or butter on the tawa. | Ragi or moong dosa adds even more fibre.</t>
  </si>
  <si>
    <t xml:space="preserve">Butter masala dosa -&gt; Ragi or pesarattu dosa</t>
  </si>
  <si>
    <t xml:space="preserve">samosa</t>
  </si>
  <si>
    <t xml:space="preserve">1 large samosa</t>
  </si>
  <si>
    <t xml:space="preserve">Deep-fried maida pastry, so most of the energy comes from fat. | Reused frying oil at stalls can contain harmful trans fats. | Share one instead of having two.</t>
  </si>
  <si>
    <t xml:space="preserve">Samosa -&gt; Steamed dhokla</t>
  </si>
  <si>
    <t xml:space="preserve">salad</t>
  </si>
  <si>
    <t xml:space="preserve">Green salad</t>
  </si>
  <si>
    <t xml:space="preserve">1 bowl</t>
  </si>
  <si>
    <t xml:space="preserve">Full of fibre, vitamins and water, with very few calories. | Add sprouts, paneer or chana to make it filling. | Keep creamy dressings light.</t>
  </si>
  <si>
    <t xml:space="preserve">Mayonnaise dressing -&gt; Lemon, salt and chaat masala</t>
  </si>
  <si>
    <t xml:space="preserve">Mithai (2 gulab jamun)</t>
  </si>
  <si>
    <t xml:space="preserve">2 pieces, about 80 g</t>
  </si>
  <si>
    <t xml:space="preserve">Two pieces can pass the WHO ideal sugar limit for a whole day. | Fried and soaked in syrup: keep it for festivals. | One small piece is enough to enjoy the taste.</t>
  </si>
  <si>
    <t xml:space="preserve">Gulab jamun -&gt; Fresh fruit chaat or dates</t>
  </si>
  <si>
    <t xml:space="preserve">vadapav</t>
  </si>
  <si>
    <t xml:space="preserve">1 vada pav</t>
  </si>
  <si>
    <t xml:space="preserve">A fried potato vada inside a maida pav: filling but low in protein. | The dry garlic chutney adds a lot of salt. | Pair it with buttermilk instead of a cold drink.</t>
  </si>
  <si>
    <t xml:space="preserve">Vada pav -&gt; Methi thepla with curd</t>
  </si>
  <si>
    <t xml:space="preserve">drink</t>
  </si>
  <si>
    <t xml:space="preserve">Cola</t>
  </si>
  <si>
    <t xml:space="preserve">1 can, 330 ml</t>
  </si>
  <si>
    <t xml:space="preserve">About 9 teaspoons of sugar: more than the WHO ideal for a whole day. | Liquid sugar does not fill you up, so it is easy to overdo. | Kids should not have energy drinks or caffeine.</t>
  </si>
  <si>
    <t xml:space="preserve">Cola or soft drink -&gt; Nimbu pani or coconut water</t>
  </si>
  <si>
    <t xml:space="preserve">Size</t>
  </si>
  <si>
    <t xml:space="preserve">Price (₹)</t>
  </si>
  <si>
    <t xml:space="preserve">MRP (₹)</t>
  </si>
  <si>
    <t xml:space="preserve">Sample listing</t>
  </si>
  <si>
    <t xml:space="preserve">Highlights</t>
  </si>
  <si>
    <t xml:space="preserve">makhana-peri</t>
  </si>
  <si>
    <t xml:space="preserve">Roasted Makhana, Peri Peri</t>
  </si>
  <si>
    <t xml:space="preserve">Sample brand</t>
  </si>
  <si>
    <t xml:space="preserve">80 g</t>
  </si>
  <si>
    <t xml:space="preserve">Roasted, not fried, Light and crunchy, No palm oil</t>
  </si>
  <si>
    <t xml:space="preserve">ragi-chips</t>
  </si>
  <si>
    <t xml:space="preserve">Ragi Millet Chips</t>
  </si>
  <si>
    <t xml:space="preserve">Millets</t>
  </si>
  <si>
    <t xml:space="preserve">60 g</t>
  </si>
  <si>
    <t xml:space="preserve">Made with finger millet, Baked, Good source of calcium</t>
  </si>
  <si>
    <t xml:space="preserve">jowar-puffs</t>
  </si>
  <si>
    <t xml:space="preserve">Jowar Puffs, Tangy Tomato</t>
  </si>
  <si>
    <t xml:space="preserve">70 g</t>
  </si>
  <si>
    <t xml:space="preserve">Sorghum millet, Puffed, not fried, Kids tiffin size</t>
  </si>
  <si>
    <t xml:space="preserve">chana-masala</t>
  </si>
  <si>
    <t xml:space="preserve">Roasted Chana, Masala</t>
  </si>
  <si>
    <t xml:space="preserve">200 g</t>
  </si>
  <si>
    <t xml:space="preserve">High protein, High fibre, Only roasted gram and spices</t>
  </si>
  <si>
    <t xml:space="preserve">date-bites</t>
  </si>
  <si>
    <t xml:space="preserve">Date and Nut Energy Bites</t>
  </si>
  <si>
    <t xml:space="preserve">Sweet bites</t>
  </si>
  <si>
    <t xml:space="preserve">12 pieces</t>
  </si>
  <si>
    <t xml:space="preserve">Sweetened only with dates, No refined sugar, Almonds and cashews</t>
  </si>
  <si>
    <t xml:space="preserve">peanut-butter</t>
  </si>
  <si>
    <t xml:space="preserve">Natural Peanut Butter, Unsweetened</t>
  </si>
  <si>
    <t xml:space="preserve">350 g</t>
  </si>
  <si>
    <t xml:space="preserve">100% roasted peanuts, No added sugar or oil, High protein</t>
  </si>
  <si>
    <t xml:space="preserve">multigrain-cookies</t>
  </si>
  <si>
    <t xml:space="preserve">Multigrain Cookies, No Maida</t>
  </si>
  <si>
    <t xml:space="preserve">150 g</t>
  </si>
  <si>
    <t xml:space="preserve">Whole wheat, oats and ragi, Jaggery sweetened, No maida</t>
  </si>
  <si>
    <t xml:space="preserve">kokum-drink</t>
  </si>
  <si>
    <t xml:space="preserve">Kokum Cooler, No Added Sugar</t>
  </si>
  <si>
    <t xml:space="preserve">250 ml</t>
  </si>
  <si>
    <t xml:space="preserve">Real kokum, No added sugar, Cooling summer drink</t>
  </si>
  <si>
    <t xml:space="preserve">trail-mix</t>
  </si>
  <si>
    <t xml:space="preserve">Trail Mix, Nuts and Seeds</t>
  </si>
  <si>
    <t xml:space="preserve">Almonds, pumpkin and sunflower seeds, No added salt, Healthy fats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</si>
</sst>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B2A86"/>
      <name val="Arial"/>
      <family val="0"/>
      <charset val="1"/>
    </font>
    <font>
      <sz val="11"/>
      <color rgb="FF222222"/>
      <name val="Arial"/>
      <family val="0"/>
      <charset val="1"/>
    </font>
    <font>
      <b val="true"/>
      <sz val="11"/>
      <color rgb="FF5B2A8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B2A86"/>
        <bgColor rgb="FF660066"/>
      </patternFill>
    </fill>
    <fill>
      <patternFill patternType="solid">
        <fgColor rgb="FFFFF1C2"/>
        <bgColor rgb="FFFFFF99"/>
      </patternFill>
    </fill>
    <fill>
      <patternFill patternType="solid">
        <fgColor rgb="FFFAD4D4"/>
        <bgColor rgb="FFDDDDDD"/>
      </patternFill>
    </fill>
    <fill>
      <patternFill patternType="solid">
        <fgColor rgb="FFD4F4DD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5B2A8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F4DD"/>
          <bgColor rgb="FF000000"/>
        </patternFill>
      </fill>
    </dxf>
    <dxf>
      <fill>
        <patternFill patternType="solid">
          <fgColor rgb="FFFAD4D4"/>
          <bgColor rgb="FF000000"/>
        </patternFill>
      </fill>
    </dxf>
    <dxf>
      <fill>
        <patternFill patternType="solid">
          <fgColor rgb="FFFFF1C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2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F4DD"/>
      <rgbColor rgb="FFFFFF99"/>
      <rgbColor rgb="FF99CCFF"/>
      <rgbColor rgb="FFFF99CC"/>
      <rgbColor rgb="FFCC99FF"/>
      <rgbColor rgb="FFFAD4D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B2A86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  <c r="B12" s="5" t="n">
        <f aca="false">COUNTA(Products!A:A)-1</f>
        <v>83</v>
      </c>
    </row>
    <row r="13" customFormat="false" ht="15" hidden="false" customHeight="false" outlineLevel="0" collapsed="false">
      <c r="A13" s="4" t="s">
        <v>10</v>
      </c>
      <c r="B13" s="5" t="n">
        <f aca="false">COUNTIF(Products!AB:AB,"Yes")</f>
        <v>47</v>
      </c>
    </row>
    <row r="14" customFormat="false" ht="15" hidden="false" customHeight="false" outlineLevel="0" collapsed="false">
      <c r="A14" s="4" t="s">
        <v>11</v>
      </c>
      <c r="B14" s="5" t="n">
        <f aca="false">COUNTIF(Products!V:V,"Good")</f>
        <v>7</v>
      </c>
    </row>
    <row r="15" customFormat="false" ht="15" hidden="false" customHeight="false" outlineLevel="0" collapsed="false">
      <c r="A15" s="4" t="s">
        <v>12</v>
      </c>
      <c r="B15" s="5" t="n">
        <f aca="false">COUNTIF(Products!V:V,"Okay in moderation")</f>
        <v>15</v>
      </c>
    </row>
    <row r="16" customFormat="false" ht="15" hidden="false" customHeight="false" outlineLevel="0" collapsed="false">
      <c r="A16" s="4" t="s">
        <v>13</v>
      </c>
      <c r="B16" s="5" t="n">
        <f aca="false">COUNTIF(Products!V:V,"Avoid")</f>
        <v>61</v>
      </c>
    </row>
    <row r="17" customFormat="false" ht="15" hidden="false" customHeight="false" outlineLevel="0" collapsed="false">
      <c r="A17" s="4" t="s">
        <v>14</v>
      </c>
      <c r="B17" s="5" t="n">
        <f aca="false">COUNTA('Fresh foods'!A:A)-1</f>
        <v>31</v>
      </c>
    </row>
    <row r="18" customFormat="false" ht="15" hidden="false" customHeight="false" outlineLevel="0" collapsed="false">
      <c r="A18" s="4" t="s">
        <v>15</v>
      </c>
      <c r="B18" s="5" t="n">
        <f aca="false">COUNTA(Additives!A:A)-1</f>
        <v>25</v>
      </c>
    </row>
    <row r="19" customFormat="false" ht="15" hidden="false" customHeight="false" outlineLevel="0" collapsed="false">
      <c r="A19" s="4" t="s">
        <v>16</v>
      </c>
      <c r="B19" s="5" t="n">
        <f aca="false">COUNTA('Meal swaps'!A:A)-1</f>
        <v>42</v>
      </c>
    </row>
    <row r="21" customFormat="false" ht="15" hidden="false" customHeight="false" outlineLevel="0" collapsed="false">
      <c r="A21" s="6" t="s">
        <v>17</v>
      </c>
    </row>
    <row r="22" customFormat="false" ht="15" hidden="false" customHeight="false" outlineLevel="0" collapsed="false">
      <c r="A22" s="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6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3" min="11" style="0" width="9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18"/>
    <col collapsed="false" customWidth="true" hidden="false" outlineLevel="0" max="21" min="21" style="0" width="10"/>
    <col collapsed="false" customWidth="true" hidden="false" outlineLevel="0" max="22" min="22" style="0" width="16"/>
    <col collapsed="false" customWidth="true" hidden="false" outlineLevel="0" max="23" min="23" style="0" width="10"/>
    <col collapsed="false" customWidth="true" hidden="false" outlineLevel="0" max="24" min="24" style="0" width="16"/>
    <col collapsed="false" customWidth="true" hidden="false" outlineLevel="0" max="25" min="25" style="0" width="10"/>
    <col collapsed="false" customWidth="true" hidden="false" outlineLevel="0" max="26" min="26" style="0" width="15"/>
    <col collapsed="false" customWidth="true" hidden="false" outlineLevel="0" max="27" min="27" style="0" width="26"/>
    <col collapsed="false" customWidth="true" hidden="false" outlineLevel="0" max="28" min="28" style="0" width="10"/>
    <col collapsed="false" customWidth="true" hidden="false" outlineLevel="0" max="29" min="29" style="0" width="60"/>
  </cols>
  <sheetData>
    <row r="1" customFormat="false" ht="31.5" hidden="false" customHeight="true" outlineLevel="0" collapsed="false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  <c r="P1" s="7" t="s">
        <v>34</v>
      </c>
      <c r="Q1" s="7" t="s">
        <v>35</v>
      </c>
      <c r="R1" s="7" t="s">
        <v>36</v>
      </c>
      <c r="S1" s="7" t="s">
        <v>37</v>
      </c>
      <c r="T1" s="7" t="s">
        <v>38</v>
      </c>
      <c r="U1" s="7" t="s">
        <v>39</v>
      </c>
      <c r="V1" s="7" t="s">
        <v>40</v>
      </c>
      <c r="W1" s="7" t="s">
        <v>41</v>
      </c>
      <c r="X1" s="7" t="s">
        <v>42</v>
      </c>
      <c r="Y1" s="7" t="s">
        <v>43</v>
      </c>
      <c r="Z1" s="7" t="s">
        <v>44</v>
      </c>
      <c r="AA1" s="7" t="s">
        <v>45</v>
      </c>
      <c r="AB1" s="7" t="s">
        <v>46</v>
      </c>
      <c r="AC1" s="7" t="s">
        <v>47</v>
      </c>
    </row>
    <row r="2" customFormat="false" ht="15" hidden="false" customHeight="false" outlineLevel="0" collapsed="false">
      <c r="A2" s="8" t="s">
        <v>48</v>
      </c>
      <c r="B2" s="8" t="s">
        <v>49</v>
      </c>
      <c r="C2" s="8" t="s">
        <v>50</v>
      </c>
      <c r="D2" s="8" t="s">
        <v>51</v>
      </c>
      <c r="E2" s="8" t="s">
        <v>52</v>
      </c>
      <c r="F2" s="8" t="s">
        <v>53</v>
      </c>
      <c r="G2" s="8" t="n">
        <v>50</v>
      </c>
      <c r="H2" s="8" t="s">
        <v>54</v>
      </c>
      <c r="I2" s="8" t="n">
        <v>554</v>
      </c>
      <c r="J2" s="8" t="n">
        <v>35.5</v>
      </c>
      <c r="K2" s="8" t="n">
        <v>14</v>
      </c>
      <c r="L2" s="8" t="n">
        <v>51.7</v>
      </c>
      <c r="M2" s="8" t="n">
        <v>2.6</v>
      </c>
      <c r="N2" s="8" t="n">
        <v>0</v>
      </c>
      <c r="O2" s="8" t="n">
        <v>7</v>
      </c>
      <c r="P2" s="8" t="n">
        <v>204</v>
      </c>
      <c r="Q2" s="8"/>
      <c r="R2" s="8" t="s">
        <v>52</v>
      </c>
      <c r="S2" s="8" t="s">
        <v>55</v>
      </c>
      <c r="T2" s="8"/>
      <c r="U2" s="8" t="n">
        <v>3</v>
      </c>
      <c r="V2" s="9" t="s">
        <v>56</v>
      </c>
      <c r="W2" s="8" t="n">
        <v>2</v>
      </c>
      <c r="X2" s="10" t="s">
        <v>57</v>
      </c>
      <c r="Y2" s="8" t="n">
        <v>4</v>
      </c>
      <c r="Z2" s="8" t="s">
        <v>58</v>
      </c>
      <c r="AA2" s="8" t="s">
        <v>59</v>
      </c>
      <c r="AB2" s="8" t="s">
        <v>55</v>
      </c>
      <c r="AC2" s="8" t="s">
        <v>60</v>
      </c>
    </row>
    <row r="3" customFormat="false" ht="35.05" hidden="false" customHeight="false" outlineLevel="0" collapsed="false">
      <c r="A3" s="8" t="s">
        <v>61</v>
      </c>
      <c r="B3" s="8" t="s">
        <v>49</v>
      </c>
      <c r="C3" s="8" t="s">
        <v>62</v>
      </c>
      <c r="D3" s="8" t="s">
        <v>51</v>
      </c>
      <c r="E3" s="8" t="s">
        <v>52</v>
      </c>
      <c r="F3" s="8" t="s">
        <v>63</v>
      </c>
      <c r="G3" s="8" t="n">
        <v>50</v>
      </c>
      <c r="H3" s="8" t="s">
        <v>54</v>
      </c>
      <c r="I3" s="8" t="n">
        <v>536</v>
      </c>
      <c r="J3" s="8" t="n">
        <v>33.1</v>
      </c>
      <c r="K3" s="8" t="n">
        <v>12.5</v>
      </c>
      <c r="L3" s="8" t="n">
        <v>52</v>
      </c>
      <c r="M3" s="8" t="n">
        <v>3</v>
      </c>
      <c r="N3" s="8" t="n">
        <v>2</v>
      </c>
      <c r="O3" s="8" t="n">
        <v>6.5</v>
      </c>
      <c r="P3" s="8" t="n">
        <v>993</v>
      </c>
      <c r="Q3" s="8"/>
      <c r="R3" s="8" t="s">
        <v>52</v>
      </c>
      <c r="S3" s="8" t="s">
        <v>55</v>
      </c>
      <c r="T3" s="8"/>
      <c r="U3" s="8" t="n">
        <v>1</v>
      </c>
      <c r="V3" s="10" t="s">
        <v>57</v>
      </c>
      <c r="W3" s="8" t="n">
        <v>1</v>
      </c>
      <c r="X3" s="10" t="s">
        <v>57</v>
      </c>
      <c r="Y3" s="8" t="n">
        <v>5.25</v>
      </c>
      <c r="Z3" s="8" t="s">
        <v>58</v>
      </c>
      <c r="AA3" s="11" t="s">
        <v>64</v>
      </c>
      <c r="AB3" s="8" t="s">
        <v>52</v>
      </c>
      <c r="AC3" s="11" t="s">
        <v>65</v>
      </c>
    </row>
    <row r="4" customFormat="false" ht="35.05" hidden="false" customHeight="false" outlineLevel="0" collapsed="false">
      <c r="A4" s="8" t="s">
        <v>66</v>
      </c>
      <c r="B4" s="8" t="s">
        <v>49</v>
      </c>
      <c r="C4" s="8" t="s">
        <v>67</v>
      </c>
      <c r="D4" s="8" t="s">
        <v>51</v>
      </c>
      <c r="E4" s="8" t="s">
        <v>52</v>
      </c>
      <c r="F4" s="8"/>
      <c r="G4" s="8" t="n">
        <v>50</v>
      </c>
      <c r="H4" s="8" t="s">
        <v>54</v>
      </c>
      <c r="I4" s="8" t="n">
        <v>540</v>
      </c>
      <c r="J4" s="8" t="n">
        <v>33</v>
      </c>
      <c r="K4" s="8" t="n">
        <v>13</v>
      </c>
      <c r="L4" s="8" t="n">
        <v>54</v>
      </c>
      <c r="M4" s="8" t="n">
        <v>4</v>
      </c>
      <c r="N4" s="8" t="n">
        <v>2</v>
      </c>
      <c r="O4" s="8" t="n">
        <v>6.5</v>
      </c>
      <c r="P4" s="8" t="n">
        <v>650</v>
      </c>
      <c r="Q4" s="8"/>
      <c r="R4" s="8" t="s">
        <v>52</v>
      </c>
      <c r="S4" s="8" t="s">
        <v>55</v>
      </c>
      <c r="T4" s="8" t="s">
        <v>68</v>
      </c>
      <c r="U4" s="8" t="n">
        <v>1.5</v>
      </c>
      <c r="V4" s="10" t="s">
        <v>57</v>
      </c>
      <c r="W4" s="8" t="n">
        <v>1.5</v>
      </c>
      <c r="X4" s="10" t="s">
        <v>57</v>
      </c>
      <c r="Y4" s="8" t="n">
        <v>5</v>
      </c>
      <c r="Z4" s="8" t="s">
        <v>58</v>
      </c>
      <c r="AA4" s="8" t="s">
        <v>69</v>
      </c>
      <c r="AB4" s="8" t="s">
        <v>52</v>
      </c>
      <c r="AC4" s="11" t="s">
        <v>70</v>
      </c>
    </row>
    <row r="5" customFormat="false" ht="23.85" hidden="false" customHeight="false" outlineLevel="0" collapsed="false">
      <c r="A5" s="8" t="s">
        <v>71</v>
      </c>
      <c r="B5" s="8" t="s">
        <v>49</v>
      </c>
      <c r="C5" s="8" t="s">
        <v>72</v>
      </c>
      <c r="D5" s="8" t="s">
        <v>51</v>
      </c>
      <c r="E5" s="8" t="s">
        <v>52</v>
      </c>
      <c r="F5" s="8"/>
      <c r="G5" s="8" t="n">
        <v>50</v>
      </c>
      <c r="H5" s="8" t="s">
        <v>54</v>
      </c>
      <c r="I5" s="8" t="n">
        <v>540</v>
      </c>
      <c r="J5" s="8" t="n">
        <v>33</v>
      </c>
      <c r="K5" s="8" t="n">
        <v>13</v>
      </c>
      <c r="L5" s="8" t="n">
        <v>54</v>
      </c>
      <c r="M5" s="8" t="n">
        <v>3</v>
      </c>
      <c r="N5" s="8" t="n">
        <v>2</v>
      </c>
      <c r="O5" s="8" t="n">
        <v>6.5</v>
      </c>
      <c r="P5" s="8" t="n">
        <v>700</v>
      </c>
      <c r="Q5" s="8"/>
      <c r="R5" s="8" t="s">
        <v>52</v>
      </c>
      <c r="S5" s="8" t="s">
        <v>55</v>
      </c>
      <c r="T5" s="8"/>
      <c r="U5" s="8" t="n">
        <v>1.5</v>
      </c>
      <c r="V5" s="10" t="s">
        <v>57</v>
      </c>
      <c r="W5" s="8" t="n">
        <v>1.5</v>
      </c>
      <c r="X5" s="10" t="s">
        <v>57</v>
      </c>
      <c r="Y5" s="8" t="n">
        <v>5</v>
      </c>
      <c r="Z5" s="8" t="s">
        <v>58</v>
      </c>
      <c r="AA5" s="8" t="s">
        <v>69</v>
      </c>
      <c r="AB5" s="8" t="s">
        <v>52</v>
      </c>
      <c r="AC5" s="11" t="s">
        <v>73</v>
      </c>
    </row>
    <row r="6" customFormat="false" ht="35.05" hidden="false" customHeight="false" outlineLevel="0" collapsed="false">
      <c r="A6" s="8" t="s">
        <v>74</v>
      </c>
      <c r="B6" s="8" t="s">
        <v>49</v>
      </c>
      <c r="C6" s="8" t="s">
        <v>75</v>
      </c>
      <c r="D6" s="8" t="s">
        <v>51</v>
      </c>
      <c r="E6" s="8" t="s">
        <v>52</v>
      </c>
      <c r="F6" s="8"/>
      <c r="G6" s="8" t="n">
        <v>50</v>
      </c>
      <c r="H6" s="8" t="s">
        <v>54</v>
      </c>
      <c r="I6" s="8" t="n">
        <v>545</v>
      </c>
      <c r="J6" s="8" t="n">
        <v>34</v>
      </c>
      <c r="K6" s="8" t="n">
        <v>13.5</v>
      </c>
      <c r="L6" s="8" t="n">
        <v>52</v>
      </c>
      <c r="M6" s="8" t="n">
        <v>4</v>
      </c>
      <c r="N6" s="8" t="n">
        <v>2</v>
      </c>
      <c r="O6" s="8" t="n">
        <v>7</v>
      </c>
      <c r="P6" s="8" t="n">
        <v>750</v>
      </c>
      <c r="Q6" s="8"/>
      <c r="R6" s="8" t="s">
        <v>52</v>
      </c>
      <c r="S6" s="8" t="s">
        <v>55</v>
      </c>
      <c r="T6" s="8" t="s">
        <v>76</v>
      </c>
      <c r="U6" s="8" t="n">
        <v>1</v>
      </c>
      <c r="V6" s="10" t="s">
        <v>57</v>
      </c>
      <c r="W6" s="8" t="n">
        <v>1</v>
      </c>
      <c r="X6" s="10" t="s">
        <v>57</v>
      </c>
      <c r="Y6" s="8" t="n">
        <v>5.5</v>
      </c>
      <c r="Z6" s="8" t="s">
        <v>58</v>
      </c>
      <c r="AA6" s="8" t="s">
        <v>69</v>
      </c>
      <c r="AB6" s="8" t="s">
        <v>52</v>
      </c>
      <c r="AC6" s="11" t="s">
        <v>77</v>
      </c>
    </row>
    <row r="7" customFormat="false" ht="35.05" hidden="false" customHeight="false" outlineLevel="0" collapsed="false">
      <c r="A7" s="8" t="s">
        <v>78</v>
      </c>
      <c r="B7" s="8" t="s">
        <v>49</v>
      </c>
      <c r="C7" s="8" t="s">
        <v>79</v>
      </c>
      <c r="D7" s="8" t="s">
        <v>51</v>
      </c>
      <c r="E7" s="8" t="s">
        <v>52</v>
      </c>
      <c r="F7" s="8"/>
      <c r="G7" s="8" t="n">
        <v>50</v>
      </c>
      <c r="H7" s="8" t="s">
        <v>54</v>
      </c>
      <c r="I7" s="8" t="n">
        <v>545</v>
      </c>
      <c r="J7" s="8" t="n">
        <v>33</v>
      </c>
      <c r="K7" s="8" t="n">
        <v>13</v>
      </c>
      <c r="L7" s="8" t="n">
        <v>53</v>
      </c>
      <c r="M7" s="8" t="n">
        <v>4</v>
      </c>
      <c r="N7" s="8" t="n">
        <v>2</v>
      </c>
      <c r="O7" s="8" t="n">
        <v>7</v>
      </c>
      <c r="P7" s="8" t="n">
        <v>700</v>
      </c>
      <c r="Q7" s="8"/>
      <c r="R7" s="8" t="s">
        <v>52</v>
      </c>
      <c r="S7" s="8" t="s">
        <v>55</v>
      </c>
      <c r="T7" s="8" t="s">
        <v>76</v>
      </c>
      <c r="U7" s="8" t="n">
        <v>1</v>
      </c>
      <c r="V7" s="10" t="s">
        <v>57</v>
      </c>
      <c r="W7" s="8" t="n">
        <v>1</v>
      </c>
      <c r="X7" s="10" t="s">
        <v>57</v>
      </c>
      <c r="Y7" s="8" t="n">
        <v>5.5</v>
      </c>
      <c r="Z7" s="8" t="s">
        <v>58</v>
      </c>
      <c r="AA7" s="8" t="s">
        <v>69</v>
      </c>
      <c r="AB7" s="8" t="s">
        <v>52</v>
      </c>
      <c r="AC7" s="11" t="s">
        <v>80</v>
      </c>
    </row>
    <row r="8" customFormat="false" ht="15" hidden="false" customHeight="false" outlineLevel="0" collapsed="false">
      <c r="A8" s="8" t="s">
        <v>81</v>
      </c>
      <c r="B8" s="8" t="s">
        <v>82</v>
      </c>
      <c r="C8" s="8" t="s">
        <v>83</v>
      </c>
      <c r="D8" s="8" t="s">
        <v>51</v>
      </c>
      <c r="E8" s="8" t="s">
        <v>52</v>
      </c>
      <c r="F8" s="8"/>
      <c r="G8" s="8" t="n">
        <v>40</v>
      </c>
      <c r="H8" s="8" t="s">
        <v>54</v>
      </c>
      <c r="I8" s="8" t="n">
        <v>554</v>
      </c>
      <c r="J8" s="8" t="n">
        <v>32.9</v>
      </c>
      <c r="K8" s="8" t="n">
        <v>15.7</v>
      </c>
      <c r="L8" s="8" t="n">
        <v>53.4</v>
      </c>
      <c r="M8" s="8" t="n">
        <v>0.8</v>
      </c>
      <c r="N8" s="8" t="n">
        <v>7.2</v>
      </c>
      <c r="O8" s="8" t="n">
        <v>7.7</v>
      </c>
      <c r="P8" s="8" t="n">
        <v>385</v>
      </c>
      <c r="Q8" s="8"/>
      <c r="R8" s="8" t="s">
        <v>52</v>
      </c>
      <c r="S8" s="8" t="s">
        <v>55</v>
      </c>
      <c r="T8" s="8"/>
      <c r="U8" s="8" t="n">
        <v>2.5</v>
      </c>
      <c r="V8" s="9" t="s">
        <v>56</v>
      </c>
      <c r="W8" s="8" t="n">
        <v>2</v>
      </c>
      <c r="X8" s="10" t="s">
        <v>57</v>
      </c>
      <c r="Y8" s="8" t="n">
        <v>3.75</v>
      </c>
      <c r="Z8" s="8" t="s">
        <v>58</v>
      </c>
      <c r="AA8" s="8" t="s">
        <v>84</v>
      </c>
      <c r="AB8" s="8" t="s">
        <v>55</v>
      </c>
      <c r="AC8" s="11" t="s">
        <v>85</v>
      </c>
    </row>
    <row r="9" customFormat="false" ht="23.85" hidden="false" customHeight="false" outlineLevel="0" collapsed="false">
      <c r="A9" s="8" t="s">
        <v>86</v>
      </c>
      <c r="B9" s="8" t="s">
        <v>82</v>
      </c>
      <c r="C9" s="8" t="s">
        <v>87</v>
      </c>
      <c r="D9" s="8" t="s">
        <v>51</v>
      </c>
      <c r="E9" s="8" t="s">
        <v>52</v>
      </c>
      <c r="F9" s="8" t="s">
        <v>88</v>
      </c>
      <c r="G9" s="8" t="n">
        <v>30</v>
      </c>
      <c r="H9" s="8" t="s">
        <v>54</v>
      </c>
      <c r="I9" s="8" t="n">
        <v>539</v>
      </c>
      <c r="J9" s="8" t="n">
        <v>33</v>
      </c>
      <c r="K9" s="8" t="n">
        <v>15</v>
      </c>
      <c r="L9" s="8" t="n">
        <v>53</v>
      </c>
      <c r="M9" s="8" t="n">
        <v>2</v>
      </c>
      <c r="N9" s="8" t="n">
        <v>3</v>
      </c>
      <c r="O9" s="8" t="n">
        <v>6.5</v>
      </c>
      <c r="P9" s="8" t="n">
        <v>700</v>
      </c>
      <c r="Q9" s="8"/>
      <c r="R9" s="8" t="s">
        <v>52</v>
      </c>
      <c r="S9" s="8" t="s">
        <v>55</v>
      </c>
      <c r="T9" s="8"/>
      <c r="U9" s="8" t="n">
        <v>1.5</v>
      </c>
      <c r="V9" s="10" t="s">
        <v>57</v>
      </c>
      <c r="W9" s="8" t="n">
        <v>1.5</v>
      </c>
      <c r="X9" s="10" t="s">
        <v>57</v>
      </c>
      <c r="Y9" s="8" t="n">
        <v>5</v>
      </c>
      <c r="Z9" s="8" t="s">
        <v>58</v>
      </c>
      <c r="AA9" s="8" t="s">
        <v>69</v>
      </c>
      <c r="AB9" s="8" t="s">
        <v>52</v>
      </c>
      <c r="AC9" s="11" t="s">
        <v>89</v>
      </c>
    </row>
    <row r="10" customFormat="false" ht="23.85" hidden="false" customHeight="false" outlineLevel="0" collapsed="false">
      <c r="A10" s="8" t="s">
        <v>90</v>
      </c>
      <c r="B10" s="8" t="s">
        <v>82</v>
      </c>
      <c r="C10" s="8" t="s">
        <v>91</v>
      </c>
      <c r="D10" s="8" t="s">
        <v>51</v>
      </c>
      <c r="E10" s="8" t="s">
        <v>52</v>
      </c>
      <c r="F10" s="8"/>
      <c r="G10" s="8" t="n">
        <v>40</v>
      </c>
      <c r="H10" s="8" t="s">
        <v>54</v>
      </c>
      <c r="I10" s="8" t="n">
        <v>537</v>
      </c>
      <c r="J10" s="8" t="n">
        <v>32.1</v>
      </c>
      <c r="K10" s="8" t="n">
        <v>15</v>
      </c>
      <c r="L10" s="8" t="n">
        <v>55.7</v>
      </c>
      <c r="M10" s="8" t="n">
        <v>3</v>
      </c>
      <c r="N10" s="8" t="n">
        <v>3</v>
      </c>
      <c r="O10" s="8" t="n">
        <v>6.4</v>
      </c>
      <c r="P10" s="8" t="n">
        <v>700</v>
      </c>
      <c r="Q10" s="8"/>
      <c r="R10" s="8" t="s">
        <v>52</v>
      </c>
      <c r="S10" s="8" t="s">
        <v>55</v>
      </c>
      <c r="T10" s="8"/>
      <c r="U10" s="8" t="n">
        <v>1.5</v>
      </c>
      <c r="V10" s="10" t="s">
        <v>57</v>
      </c>
      <c r="W10" s="8" t="n">
        <v>1.5</v>
      </c>
      <c r="X10" s="10" t="s">
        <v>57</v>
      </c>
      <c r="Y10" s="8" t="n">
        <v>5</v>
      </c>
      <c r="Z10" s="8" t="s">
        <v>58</v>
      </c>
      <c r="AA10" s="8" t="s">
        <v>69</v>
      </c>
      <c r="AB10" s="8" t="s">
        <v>52</v>
      </c>
      <c r="AC10" s="11" t="s">
        <v>92</v>
      </c>
    </row>
    <row r="11" customFormat="false" ht="23.85" hidden="false" customHeight="false" outlineLevel="0" collapsed="false">
      <c r="A11" s="8" t="s">
        <v>93</v>
      </c>
      <c r="B11" s="8" t="s">
        <v>82</v>
      </c>
      <c r="C11" s="8" t="s">
        <v>94</v>
      </c>
      <c r="D11" s="8" t="s">
        <v>51</v>
      </c>
      <c r="E11" s="8" t="s">
        <v>52</v>
      </c>
      <c r="F11" s="8"/>
      <c r="G11" s="8" t="n">
        <v>40</v>
      </c>
      <c r="H11" s="8" t="s">
        <v>54</v>
      </c>
      <c r="I11" s="8" t="n">
        <v>545</v>
      </c>
      <c r="J11" s="8" t="n">
        <v>32.2</v>
      </c>
      <c r="K11" s="8" t="n">
        <v>15</v>
      </c>
      <c r="L11" s="8" t="n">
        <v>53.5</v>
      </c>
      <c r="M11" s="8" t="n">
        <v>3</v>
      </c>
      <c r="N11" s="8" t="n">
        <v>3</v>
      </c>
      <c r="O11" s="8" t="n">
        <v>7.4</v>
      </c>
      <c r="P11" s="8" t="n">
        <v>750</v>
      </c>
      <c r="Q11" s="8"/>
      <c r="R11" s="8" t="s">
        <v>52</v>
      </c>
      <c r="S11" s="8" t="s">
        <v>55</v>
      </c>
      <c r="T11" s="8"/>
      <c r="U11" s="8" t="n">
        <v>1.5</v>
      </c>
      <c r="V11" s="10" t="s">
        <v>57</v>
      </c>
      <c r="W11" s="8" t="n">
        <v>1.5</v>
      </c>
      <c r="X11" s="10" t="s">
        <v>57</v>
      </c>
      <c r="Y11" s="8" t="n">
        <v>5</v>
      </c>
      <c r="Z11" s="8" t="s">
        <v>58</v>
      </c>
      <c r="AA11" s="8" t="s">
        <v>69</v>
      </c>
      <c r="AB11" s="8" t="s">
        <v>52</v>
      </c>
      <c r="AC11" s="11" t="s">
        <v>95</v>
      </c>
    </row>
    <row r="12" customFormat="false" ht="15" hidden="false" customHeight="false" outlineLevel="0" collapsed="false">
      <c r="A12" s="8" t="s">
        <v>96</v>
      </c>
      <c r="B12" s="8" t="s">
        <v>82</v>
      </c>
      <c r="C12" s="8" t="s">
        <v>97</v>
      </c>
      <c r="D12" s="8" t="s">
        <v>98</v>
      </c>
      <c r="E12" s="8" t="s">
        <v>52</v>
      </c>
      <c r="F12" s="8"/>
      <c r="G12" s="8" t="n">
        <v>200</v>
      </c>
      <c r="H12" s="8" t="s">
        <v>54</v>
      </c>
      <c r="I12" s="8" t="n">
        <v>348</v>
      </c>
      <c r="J12" s="8" t="n">
        <v>21.5</v>
      </c>
      <c r="K12" s="8" t="n">
        <v>9</v>
      </c>
      <c r="L12" s="8" t="n">
        <v>61.3</v>
      </c>
      <c r="M12" s="8" t="n">
        <v>1</v>
      </c>
      <c r="N12" s="8" t="n">
        <v>6</v>
      </c>
      <c r="O12" s="8" t="n">
        <v>10.1</v>
      </c>
      <c r="P12" s="8" t="n">
        <v>600</v>
      </c>
      <c r="Q12" s="8"/>
      <c r="R12" s="8" t="s">
        <v>52</v>
      </c>
      <c r="S12" s="8" t="s">
        <v>55</v>
      </c>
      <c r="T12" s="8" t="s">
        <v>68</v>
      </c>
      <c r="U12" s="8" t="n">
        <v>3</v>
      </c>
      <c r="V12" s="9" t="s">
        <v>56</v>
      </c>
      <c r="W12" s="8" t="n">
        <v>2.5</v>
      </c>
      <c r="X12" s="9" t="s">
        <v>56</v>
      </c>
      <c r="Y12" s="8" t="n">
        <v>2.25</v>
      </c>
      <c r="Z12" s="8" t="s">
        <v>99</v>
      </c>
      <c r="AA12" s="8" t="s">
        <v>69</v>
      </c>
      <c r="AB12" s="8" t="s">
        <v>52</v>
      </c>
      <c r="AC12" s="11" t="s">
        <v>100</v>
      </c>
    </row>
    <row r="13" customFormat="false" ht="23.85" hidden="false" customHeight="false" outlineLevel="0" collapsed="false">
      <c r="A13" s="8" t="s">
        <v>101</v>
      </c>
      <c r="B13" s="8" t="s">
        <v>102</v>
      </c>
      <c r="C13" s="8" t="s">
        <v>103</v>
      </c>
      <c r="D13" s="8" t="s">
        <v>104</v>
      </c>
      <c r="E13" s="8" t="s">
        <v>52</v>
      </c>
      <c r="F13" s="8"/>
      <c r="G13" s="8" t="n">
        <v>200</v>
      </c>
      <c r="H13" s="8" t="s">
        <v>54</v>
      </c>
      <c r="I13" s="8" t="n">
        <v>560</v>
      </c>
      <c r="J13" s="8" t="n">
        <v>38</v>
      </c>
      <c r="K13" s="8" t="n">
        <v>17</v>
      </c>
      <c r="L13" s="8" t="n">
        <v>42</v>
      </c>
      <c r="M13" s="8" t="n">
        <v>2</v>
      </c>
      <c r="N13" s="8" t="n">
        <v>4</v>
      </c>
      <c r="O13" s="8" t="n">
        <v>11</v>
      </c>
      <c r="P13" s="8" t="n">
        <v>900</v>
      </c>
      <c r="Q13" s="8"/>
      <c r="R13" s="8" t="s">
        <v>52</v>
      </c>
      <c r="S13" s="8" t="s">
        <v>55</v>
      </c>
      <c r="T13" s="8"/>
      <c r="U13" s="8" t="n">
        <v>2</v>
      </c>
      <c r="V13" s="10" t="s">
        <v>57</v>
      </c>
      <c r="W13" s="8" t="n">
        <v>2</v>
      </c>
      <c r="X13" s="10" t="s">
        <v>57</v>
      </c>
      <c r="Y13" s="8" t="n">
        <v>4.5</v>
      </c>
      <c r="Z13" s="8" t="s">
        <v>58</v>
      </c>
      <c r="AA13" s="8" t="s">
        <v>69</v>
      </c>
      <c r="AB13" s="8" t="s">
        <v>52</v>
      </c>
      <c r="AC13" s="11" t="s">
        <v>105</v>
      </c>
    </row>
    <row r="14" customFormat="false" ht="23.85" hidden="false" customHeight="false" outlineLevel="0" collapsed="false">
      <c r="A14" s="8" t="s">
        <v>106</v>
      </c>
      <c r="B14" s="8" t="s">
        <v>107</v>
      </c>
      <c r="C14" s="8" t="s">
        <v>108</v>
      </c>
      <c r="D14" s="8" t="s">
        <v>104</v>
      </c>
      <c r="E14" s="8" t="s">
        <v>52</v>
      </c>
      <c r="F14" s="8"/>
      <c r="G14" s="8" t="n">
        <v>200</v>
      </c>
      <c r="H14" s="8" t="s">
        <v>54</v>
      </c>
      <c r="I14" s="8" t="n">
        <v>570</v>
      </c>
      <c r="J14" s="8" t="n">
        <v>40</v>
      </c>
      <c r="K14" s="8" t="n">
        <v>18</v>
      </c>
      <c r="L14" s="8" t="n">
        <v>40</v>
      </c>
      <c r="M14" s="8" t="n">
        <v>2</v>
      </c>
      <c r="N14" s="8" t="n">
        <v>4</v>
      </c>
      <c r="O14" s="8" t="n">
        <v>12</v>
      </c>
      <c r="P14" s="8" t="n">
        <v>850</v>
      </c>
      <c r="Q14" s="8"/>
      <c r="R14" s="8" t="s">
        <v>52</v>
      </c>
      <c r="S14" s="8" t="s">
        <v>55</v>
      </c>
      <c r="T14" s="8"/>
      <c r="U14" s="8" t="n">
        <v>2</v>
      </c>
      <c r="V14" s="10" t="s">
        <v>57</v>
      </c>
      <c r="W14" s="8" t="n">
        <v>2</v>
      </c>
      <c r="X14" s="10" t="s">
        <v>57</v>
      </c>
      <c r="Y14" s="8" t="n">
        <v>4.5</v>
      </c>
      <c r="Z14" s="8" t="s">
        <v>58</v>
      </c>
      <c r="AA14" s="8" t="s">
        <v>69</v>
      </c>
      <c r="AB14" s="8" t="s">
        <v>52</v>
      </c>
      <c r="AC14" s="11" t="s">
        <v>109</v>
      </c>
    </row>
    <row r="15" customFormat="false" ht="15" hidden="false" customHeight="false" outlineLevel="0" collapsed="false">
      <c r="A15" s="8" t="s">
        <v>110</v>
      </c>
      <c r="B15" s="8" t="s">
        <v>102</v>
      </c>
      <c r="C15" s="8" t="s">
        <v>111</v>
      </c>
      <c r="D15" s="8" t="s">
        <v>104</v>
      </c>
      <c r="E15" s="8" t="s">
        <v>52</v>
      </c>
      <c r="F15" s="8"/>
      <c r="G15" s="8" t="n">
        <v>200</v>
      </c>
      <c r="H15" s="8" t="s">
        <v>54</v>
      </c>
      <c r="I15" s="8" t="n">
        <v>480</v>
      </c>
      <c r="J15" s="8" t="n">
        <v>26</v>
      </c>
      <c r="K15" s="8" t="n">
        <v>11</v>
      </c>
      <c r="L15" s="8" t="n">
        <v>40</v>
      </c>
      <c r="M15" s="8" t="n">
        <v>1</v>
      </c>
      <c r="N15" s="8" t="n">
        <v>6</v>
      </c>
      <c r="O15" s="8" t="n">
        <v>22</v>
      </c>
      <c r="P15" s="8" t="n">
        <v>500</v>
      </c>
      <c r="Q15" s="8"/>
      <c r="R15" s="8" t="s">
        <v>52</v>
      </c>
      <c r="S15" s="8" t="s">
        <v>55</v>
      </c>
      <c r="T15" s="8"/>
      <c r="U15" s="8" t="n">
        <v>3</v>
      </c>
      <c r="V15" s="9" t="s">
        <v>56</v>
      </c>
      <c r="W15" s="8" t="n">
        <v>2</v>
      </c>
      <c r="X15" s="10" t="s">
        <v>57</v>
      </c>
      <c r="Y15" s="8" t="n">
        <v>3.25</v>
      </c>
      <c r="Z15" s="8" t="s">
        <v>99</v>
      </c>
      <c r="AA15" s="8" t="s">
        <v>69</v>
      </c>
      <c r="AB15" s="8" t="s">
        <v>52</v>
      </c>
      <c r="AC15" s="8" t="s">
        <v>112</v>
      </c>
    </row>
    <row r="16" customFormat="false" ht="35.05" hidden="false" customHeight="false" outlineLevel="0" collapsed="false">
      <c r="A16" s="8" t="s">
        <v>113</v>
      </c>
      <c r="B16" s="8" t="s">
        <v>114</v>
      </c>
      <c r="C16" s="8" t="s">
        <v>115</v>
      </c>
      <c r="D16" s="8" t="s">
        <v>98</v>
      </c>
      <c r="E16" s="8" t="s">
        <v>52</v>
      </c>
      <c r="F16" s="8"/>
      <c r="G16" s="8" t="n">
        <v>75</v>
      </c>
      <c r="H16" s="8" t="s">
        <v>54</v>
      </c>
      <c r="I16" s="8" t="n">
        <v>550</v>
      </c>
      <c r="J16" s="8" t="n">
        <v>33</v>
      </c>
      <c r="K16" s="8" t="n">
        <v>15</v>
      </c>
      <c r="L16" s="8" t="n">
        <v>58</v>
      </c>
      <c r="M16" s="8" t="n">
        <v>3</v>
      </c>
      <c r="N16" s="8" t="n">
        <v>2</v>
      </c>
      <c r="O16" s="8" t="n">
        <v>6</v>
      </c>
      <c r="P16" s="8" t="n">
        <v>750</v>
      </c>
      <c r="Q16" s="8"/>
      <c r="R16" s="8" t="s">
        <v>52</v>
      </c>
      <c r="S16" s="8" t="s">
        <v>55</v>
      </c>
      <c r="T16" s="8"/>
      <c r="U16" s="8" t="n">
        <v>1</v>
      </c>
      <c r="V16" s="10" t="s">
        <v>57</v>
      </c>
      <c r="W16" s="8" t="n">
        <v>1</v>
      </c>
      <c r="X16" s="10" t="s">
        <v>57</v>
      </c>
      <c r="Y16" s="8" t="n">
        <v>5.5</v>
      </c>
      <c r="Z16" s="8" t="s">
        <v>58</v>
      </c>
      <c r="AA16" s="8" t="s">
        <v>69</v>
      </c>
      <c r="AB16" s="8" t="s">
        <v>52</v>
      </c>
      <c r="AC16" s="11" t="s">
        <v>116</v>
      </c>
    </row>
    <row r="17" customFormat="false" ht="35.05" hidden="false" customHeight="false" outlineLevel="0" collapsed="false">
      <c r="A17" s="8" t="s">
        <v>117</v>
      </c>
      <c r="B17" s="8" t="s">
        <v>118</v>
      </c>
      <c r="C17" s="8" t="s">
        <v>119</v>
      </c>
      <c r="D17" s="8" t="s">
        <v>98</v>
      </c>
      <c r="E17" s="8" t="s">
        <v>52</v>
      </c>
      <c r="F17" s="8"/>
      <c r="G17" s="8" t="n">
        <v>72</v>
      </c>
      <c r="H17" s="8" t="s">
        <v>54</v>
      </c>
      <c r="I17" s="8" t="n">
        <v>510</v>
      </c>
      <c r="J17" s="8" t="n">
        <v>26</v>
      </c>
      <c r="K17" s="8" t="n">
        <v>12</v>
      </c>
      <c r="L17" s="8" t="n">
        <v>63</v>
      </c>
      <c r="M17" s="8" t="n">
        <v>4</v>
      </c>
      <c r="N17" s="8" t="n">
        <v>3</v>
      </c>
      <c r="O17" s="8" t="n">
        <v>7</v>
      </c>
      <c r="P17" s="8" t="n">
        <v>800</v>
      </c>
      <c r="Q17" s="8"/>
      <c r="R17" s="8" t="s">
        <v>52</v>
      </c>
      <c r="S17" s="8" t="s">
        <v>55</v>
      </c>
      <c r="T17" s="8" t="s">
        <v>68</v>
      </c>
      <c r="U17" s="8" t="n">
        <v>1</v>
      </c>
      <c r="V17" s="10" t="s">
        <v>57</v>
      </c>
      <c r="W17" s="8" t="n">
        <v>1</v>
      </c>
      <c r="X17" s="10" t="s">
        <v>57</v>
      </c>
      <c r="Y17" s="8" t="n">
        <v>5.5</v>
      </c>
      <c r="Z17" s="8" t="s">
        <v>58</v>
      </c>
      <c r="AA17" s="8" t="s">
        <v>69</v>
      </c>
      <c r="AB17" s="8" t="s">
        <v>52</v>
      </c>
      <c r="AC17" s="11" t="s">
        <v>120</v>
      </c>
    </row>
    <row r="18" customFormat="false" ht="15" hidden="false" customHeight="false" outlineLevel="0" collapsed="false">
      <c r="A18" s="8" t="s">
        <v>121</v>
      </c>
      <c r="B18" s="8" t="s">
        <v>122</v>
      </c>
      <c r="C18" s="8" t="s">
        <v>123</v>
      </c>
      <c r="D18" s="8" t="s">
        <v>124</v>
      </c>
      <c r="E18" s="8" t="s">
        <v>52</v>
      </c>
      <c r="F18" s="8"/>
      <c r="G18" s="8" t="n">
        <v>200</v>
      </c>
      <c r="H18" s="8" t="s">
        <v>54</v>
      </c>
      <c r="I18" s="8" t="n">
        <v>370</v>
      </c>
      <c r="J18" s="8" t="n">
        <v>6</v>
      </c>
      <c r="K18" s="8" t="n">
        <v>1</v>
      </c>
      <c r="L18" s="8" t="n">
        <v>58</v>
      </c>
      <c r="M18" s="8" t="n">
        <v>2</v>
      </c>
      <c r="N18" s="8" t="n">
        <v>15</v>
      </c>
      <c r="O18" s="8" t="n">
        <v>20</v>
      </c>
      <c r="P18" s="8" t="n">
        <v>25</v>
      </c>
      <c r="Q18" s="8"/>
      <c r="R18" s="8" t="s">
        <v>52</v>
      </c>
      <c r="S18" s="8" t="s">
        <v>55</v>
      </c>
      <c r="T18" s="8"/>
      <c r="U18" s="8" t="n">
        <v>5</v>
      </c>
      <c r="V18" s="12" t="s">
        <v>125</v>
      </c>
      <c r="W18" s="8" t="n">
        <v>5</v>
      </c>
      <c r="X18" s="12" t="s">
        <v>125</v>
      </c>
      <c r="Y18" s="8" t="n">
        <v>0</v>
      </c>
      <c r="Z18" s="8" t="s">
        <v>126</v>
      </c>
      <c r="AA18" s="8" t="s">
        <v>69</v>
      </c>
      <c r="AB18" s="8" t="s">
        <v>52</v>
      </c>
      <c r="AC18" s="8" t="s">
        <v>127</v>
      </c>
    </row>
    <row r="19" customFormat="false" ht="23.85" hidden="false" customHeight="false" outlineLevel="0" collapsed="false">
      <c r="A19" s="8" t="s">
        <v>128</v>
      </c>
      <c r="B19" s="8" t="s">
        <v>129</v>
      </c>
      <c r="C19" s="8" t="s">
        <v>130</v>
      </c>
      <c r="D19" s="8" t="s">
        <v>131</v>
      </c>
      <c r="E19" s="8" t="s">
        <v>52</v>
      </c>
      <c r="F19" s="8"/>
      <c r="G19" s="8" t="n">
        <v>80</v>
      </c>
      <c r="H19" s="8" t="s">
        <v>54</v>
      </c>
      <c r="I19" s="8" t="n">
        <v>454</v>
      </c>
      <c r="J19" s="8" t="n">
        <v>13</v>
      </c>
      <c r="K19" s="8" t="n">
        <v>6.3</v>
      </c>
      <c r="L19" s="8" t="n">
        <v>77</v>
      </c>
      <c r="M19" s="8" t="n">
        <v>25.5</v>
      </c>
      <c r="N19" s="8" t="n">
        <v>1</v>
      </c>
      <c r="O19" s="8" t="n">
        <v>6.7</v>
      </c>
      <c r="P19" s="8" t="n">
        <v>230</v>
      </c>
      <c r="Q19" s="8"/>
      <c r="R19" s="8" t="s">
        <v>52</v>
      </c>
      <c r="S19" s="8" t="s">
        <v>55</v>
      </c>
      <c r="T19" s="8" t="s">
        <v>132</v>
      </c>
      <c r="U19" s="8" t="n">
        <v>1.5</v>
      </c>
      <c r="V19" s="10" t="s">
        <v>57</v>
      </c>
      <c r="W19" s="8" t="n">
        <v>1</v>
      </c>
      <c r="X19" s="10" t="s">
        <v>57</v>
      </c>
      <c r="Y19" s="8" t="n">
        <v>5</v>
      </c>
      <c r="Z19" s="8" t="s">
        <v>58</v>
      </c>
      <c r="AA19" s="8" t="s">
        <v>69</v>
      </c>
      <c r="AB19" s="8" t="s">
        <v>52</v>
      </c>
      <c r="AC19" s="11" t="s">
        <v>133</v>
      </c>
    </row>
    <row r="20" customFormat="false" ht="23.85" hidden="false" customHeight="false" outlineLevel="0" collapsed="false">
      <c r="A20" s="8" t="s">
        <v>134</v>
      </c>
      <c r="B20" s="8" t="s">
        <v>135</v>
      </c>
      <c r="C20" s="8" t="s">
        <v>136</v>
      </c>
      <c r="D20" s="8" t="s">
        <v>131</v>
      </c>
      <c r="E20" s="8" t="s">
        <v>52</v>
      </c>
      <c r="F20" s="8"/>
      <c r="G20" s="8" t="n">
        <v>100</v>
      </c>
      <c r="H20" s="8" t="s">
        <v>54</v>
      </c>
      <c r="I20" s="8" t="n">
        <v>509</v>
      </c>
      <c r="J20" s="8" t="n">
        <v>23</v>
      </c>
      <c r="K20" s="8" t="n">
        <v>11</v>
      </c>
      <c r="L20" s="8" t="n">
        <v>69</v>
      </c>
      <c r="M20" s="8" t="n">
        <v>25</v>
      </c>
      <c r="N20" s="8" t="n">
        <v>1.5</v>
      </c>
      <c r="O20" s="8" t="n">
        <v>7</v>
      </c>
      <c r="P20" s="8" t="n">
        <v>300</v>
      </c>
      <c r="Q20" s="8"/>
      <c r="R20" s="8" t="s">
        <v>52</v>
      </c>
      <c r="S20" s="8" t="s">
        <v>55</v>
      </c>
      <c r="T20" s="8" t="s">
        <v>137</v>
      </c>
      <c r="U20" s="8" t="n">
        <v>1.5</v>
      </c>
      <c r="V20" s="10" t="s">
        <v>57</v>
      </c>
      <c r="W20" s="8" t="n">
        <v>1</v>
      </c>
      <c r="X20" s="10" t="s">
        <v>57</v>
      </c>
      <c r="Y20" s="8" t="n">
        <v>5</v>
      </c>
      <c r="Z20" s="8" t="s">
        <v>58</v>
      </c>
      <c r="AA20" s="8" t="s">
        <v>69</v>
      </c>
      <c r="AB20" s="8" t="s">
        <v>52</v>
      </c>
      <c r="AC20" s="11" t="s">
        <v>138</v>
      </c>
    </row>
    <row r="21" customFormat="false" ht="23.85" hidden="false" customHeight="false" outlineLevel="0" collapsed="false">
      <c r="A21" s="8" t="s">
        <v>139</v>
      </c>
      <c r="B21" s="8" t="s">
        <v>135</v>
      </c>
      <c r="C21" s="8" t="s">
        <v>140</v>
      </c>
      <c r="D21" s="8" t="s">
        <v>131</v>
      </c>
      <c r="E21" s="8" t="s">
        <v>52</v>
      </c>
      <c r="F21" s="8"/>
      <c r="G21" s="8" t="n">
        <v>120</v>
      </c>
      <c r="H21" s="8" t="s">
        <v>54</v>
      </c>
      <c r="I21" s="8" t="n">
        <v>450</v>
      </c>
      <c r="J21" s="8" t="n">
        <v>11</v>
      </c>
      <c r="K21" s="8" t="n">
        <v>5.5</v>
      </c>
      <c r="L21" s="8" t="n">
        <v>77</v>
      </c>
      <c r="M21" s="8" t="n">
        <v>21</v>
      </c>
      <c r="N21" s="8" t="n">
        <v>2</v>
      </c>
      <c r="O21" s="8" t="n">
        <v>8</v>
      </c>
      <c r="P21" s="8" t="n">
        <v>370</v>
      </c>
      <c r="Q21" s="8"/>
      <c r="R21" s="8" t="s">
        <v>52</v>
      </c>
      <c r="S21" s="8" t="s">
        <v>55</v>
      </c>
      <c r="T21" s="8" t="s">
        <v>132</v>
      </c>
      <c r="U21" s="8" t="n">
        <v>2.5</v>
      </c>
      <c r="V21" s="9" t="s">
        <v>56</v>
      </c>
      <c r="W21" s="8" t="n">
        <v>1</v>
      </c>
      <c r="X21" s="10" t="s">
        <v>57</v>
      </c>
      <c r="Y21" s="8" t="n">
        <v>4.25</v>
      </c>
      <c r="Z21" s="8" t="s">
        <v>58</v>
      </c>
      <c r="AA21" s="8" t="s">
        <v>69</v>
      </c>
      <c r="AB21" s="8" t="s">
        <v>52</v>
      </c>
      <c r="AC21" s="11" t="s">
        <v>141</v>
      </c>
    </row>
    <row r="22" customFormat="false" ht="23.85" hidden="false" customHeight="false" outlineLevel="0" collapsed="false">
      <c r="A22" s="8" t="s">
        <v>142</v>
      </c>
      <c r="B22" s="8" t="s">
        <v>143</v>
      </c>
      <c r="C22" s="8" t="s">
        <v>144</v>
      </c>
      <c r="D22" s="8" t="s">
        <v>145</v>
      </c>
      <c r="E22" s="8" t="s">
        <v>52</v>
      </c>
      <c r="F22" s="8"/>
      <c r="G22" s="8" t="n">
        <v>375</v>
      </c>
      <c r="H22" s="8" t="s">
        <v>54</v>
      </c>
      <c r="I22" s="8" t="n">
        <v>387</v>
      </c>
      <c r="J22" s="8" t="n">
        <v>2.5</v>
      </c>
      <c r="K22" s="8" t="n">
        <v>1</v>
      </c>
      <c r="L22" s="8" t="n">
        <v>82</v>
      </c>
      <c r="M22" s="8" t="n">
        <v>26</v>
      </c>
      <c r="N22" s="8" t="n">
        <v>5</v>
      </c>
      <c r="O22" s="8" t="n">
        <v>9</v>
      </c>
      <c r="P22" s="8" t="n">
        <v>300</v>
      </c>
      <c r="Q22" s="8"/>
      <c r="R22" s="8" t="s">
        <v>52</v>
      </c>
      <c r="S22" s="8" t="s">
        <v>55</v>
      </c>
      <c r="T22" s="8" t="s">
        <v>68</v>
      </c>
      <c r="U22" s="8" t="n">
        <v>3.5</v>
      </c>
      <c r="V22" s="9" t="s">
        <v>56</v>
      </c>
      <c r="W22" s="8" t="n">
        <v>3</v>
      </c>
      <c r="X22" s="9" t="s">
        <v>56</v>
      </c>
      <c r="Y22" s="8" t="n">
        <v>1.5</v>
      </c>
      <c r="Z22" s="8" t="s">
        <v>126</v>
      </c>
      <c r="AA22" s="8" t="s">
        <v>69</v>
      </c>
      <c r="AB22" s="8" t="s">
        <v>52</v>
      </c>
      <c r="AC22" s="11" t="s">
        <v>146</v>
      </c>
    </row>
    <row r="23" customFormat="false" ht="23.85" hidden="false" customHeight="false" outlineLevel="0" collapsed="false">
      <c r="A23" s="8" t="s">
        <v>147</v>
      </c>
      <c r="B23" s="8" t="s">
        <v>148</v>
      </c>
      <c r="C23" s="8" t="s">
        <v>149</v>
      </c>
      <c r="D23" s="8" t="s">
        <v>145</v>
      </c>
      <c r="E23" s="8" t="s">
        <v>52</v>
      </c>
      <c r="F23" s="8"/>
      <c r="G23" s="8" t="n">
        <v>40</v>
      </c>
      <c r="H23" s="8" t="s">
        <v>54</v>
      </c>
      <c r="I23" s="8" t="n">
        <v>385</v>
      </c>
      <c r="J23" s="8" t="n">
        <v>8</v>
      </c>
      <c r="K23" s="8" t="n">
        <v>1.4</v>
      </c>
      <c r="L23" s="8" t="n">
        <v>66</v>
      </c>
      <c r="M23" s="8" t="n">
        <v>4</v>
      </c>
      <c r="N23" s="8" t="n">
        <v>10</v>
      </c>
      <c r="O23" s="8" t="n">
        <v>12</v>
      </c>
      <c r="P23" s="8" t="n">
        <v>1050</v>
      </c>
      <c r="Q23" s="8"/>
      <c r="R23" s="8" t="s">
        <v>52</v>
      </c>
      <c r="S23" s="8" t="s">
        <v>55</v>
      </c>
      <c r="T23" s="8"/>
      <c r="U23" s="8" t="n">
        <v>4</v>
      </c>
      <c r="V23" s="12" t="s">
        <v>125</v>
      </c>
      <c r="W23" s="8" t="n">
        <v>3.5</v>
      </c>
      <c r="X23" s="9" t="s">
        <v>56</v>
      </c>
      <c r="Y23" s="8" t="n">
        <v>1.75</v>
      </c>
      <c r="Z23" s="8" t="s">
        <v>99</v>
      </c>
      <c r="AA23" s="8" t="s">
        <v>69</v>
      </c>
      <c r="AB23" s="8" t="s">
        <v>52</v>
      </c>
      <c r="AC23" s="11" t="s">
        <v>150</v>
      </c>
    </row>
    <row r="24" customFormat="false" ht="35.05" hidden="false" customHeight="false" outlineLevel="0" collapsed="false">
      <c r="A24" s="8" t="s">
        <v>151</v>
      </c>
      <c r="B24" s="8" t="s">
        <v>152</v>
      </c>
      <c r="C24" s="8" t="s">
        <v>153</v>
      </c>
      <c r="D24" s="8" t="s">
        <v>154</v>
      </c>
      <c r="E24" s="8" t="s">
        <v>52</v>
      </c>
      <c r="F24" s="8"/>
      <c r="G24" s="8" t="n">
        <v>70</v>
      </c>
      <c r="H24" s="8" t="s">
        <v>54</v>
      </c>
      <c r="I24" s="8" t="n">
        <v>427</v>
      </c>
      <c r="J24" s="8" t="n">
        <v>15.7</v>
      </c>
      <c r="K24" s="8" t="n">
        <v>7.5</v>
      </c>
      <c r="L24" s="8" t="n">
        <v>60</v>
      </c>
      <c r="M24" s="8" t="n">
        <v>2</v>
      </c>
      <c r="N24" s="8" t="n">
        <v>2</v>
      </c>
      <c r="O24" s="8" t="n">
        <v>8.5</v>
      </c>
      <c r="P24" s="8" t="n">
        <v>1100</v>
      </c>
      <c r="Q24" s="8"/>
      <c r="R24" s="8" t="s">
        <v>52</v>
      </c>
      <c r="S24" s="8" t="s">
        <v>55</v>
      </c>
      <c r="T24" s="8" t="s">
        <v>68</v>
      </c>
      <c r="U24" s="8" t="n">
        <v>2</v>
      </c>
      <c r="V24" s="10" t="s">
        <v>57</v>
      </c>
      <c r="W24" s="8" t="n">
        <v>2</v>
      </c>
      <c r="X24" s="10" t="s">
        <v>57</v>
      </c>
      <c r="Y24" s="8" t="n">
        <v>4.25</v>
      </c>
      <c r="Z24" s="8" t="s">
        <v>58</v>
      </c>
      <c r="AA24" s="8" t="s">
        <v>69</v>
      </c>
      <c r="AB24" s="8" t="s">
        <v>52</v>
      </c>
      <c r="AC24" s="11" t="s">
        <v>155</v>
      </c>
    </row>
    <row r="25" customFormat="false" ht="35.05" hidden="false" customHeight="false" outlineLevel="0" collapsed="false">
      <c r="A25" s="8" t="s">
        <v>156</v>
      </c>
      <c r="B25" s="8" t="s">
        <v>157</v>
      </c>
      <c r="C25" s="8" t="s">
        <v>158</v>
      </c>
      <c r="D25" s="8" t="s">
        <v>154</v>
      </c>
      <c r="E25" s="8" t="s">
        <v>52</v>
      </c>
      <c r="F25" s="8"/>
      <c r="G25" s="8" t="n">
        <v>70</v>
      </c>
      <c r="H25" s="8" t="s">
        <v>54</v>
      </c>
      <c r="I25" s="8" t="n">
        <v>450</v>
      </c>
      <c r="J25" s="8" t="n">
        <v>18</v>
      </c>
      <c r="K25" s="8" t="n">
        <v>8</v>
      </c>
      <c r="L25" s="8" t="n">
        <v>63</v>
      </c>
      <c r="M25" s="8" t="n">
        <v>2</v>
      </c>
      <c r="N25" s="8" t="n">
        <v>2</v>
      </c>
      <c r="O25" s="8" t="n">
        <v>8</v>
      </c>
      <c r="P25" s="8" t="n">
        <v>1000</v>
      </c>
      <c r="Q25" s="8"/>
      <c r="R25" s="8" t="s">
        <v>52</v>
      </c>
      <c r="S25" s="8" t="s">
        <v>55</v>
      </c>
      <c r="T25" s="8" t="s">
        <v>68</v>
      </c>
      <c r="U25" s="8" t="n">
        <v>1.5</v>
      </c>
      <c r="V25" s="10" t="s">
        <v>57</v>
      </c>
      <c r="W25" s="8" t="n">
        <v>1</v>
      </c>
      <c r="X25" s="10" t="s">
        <v>57</v>
      </c>
      <c r="Y25" s="8" t="n">
        <v>4.5</v>
      </c>
      <c r="Z25" s="8" t="s">
        <v>58</v>
      </c>
      <c r="AA25" s="8" t="s">
        <v>69</v>
      </c>
      <c r="AB25" s="8" t="s">
        <v>52</v>
      </c>
      <c r="AC25" s="11" t="s">
        <v>159</v>
      </c>
    </row>
    <row r="26" customFormat="false" ht="15" hidden="false" customHeight="false" outlineLevel="0" collapsed="false">
      <c r="A26" s="8" t="s">
        <v>160</v>
      </c>
      <c r="B26" s="8" t="s">
        <v>161</v>
      </c>
      <c r="C26" s="8" t="s">
        <v>162</v>
      </c>
      <c r="D26" s="8" t="s">
        <v>163</v>
      </c>
      <c r="E26" s="8" t="s">
        <v>52</v>
      </c>
      <c r="F26" s="8"/>
      <c r="G26" s="8" t="n">
        <v>100</v>
      </c>
      <c r="H26" s="8" t="s">
        <v>54</v>
      </c>
      <c r="I26" s="8" t="n">
        <v>722</v>
      </c>
      <c r="J26" s="8" t="n">
        <v>80</v>
      </c>
      <c r="K26" s="8" t="n">
        <v>51</v>
      </c>
      <c r="L26" s="8" t="n">
        <v>0</v>
      </c>
      <c r="M26" s="8" t="n">
        <v>0</v>
      </c>
      <c r="N26" s="8" t="n">
        <v>0</v>
      </c>
      <c r="O26" s="8" t="n">
        <v>0.5</v>
      </c>
      <c r="P26" s="8" t="n">
        <v>650</v>
      </c>
      <c r="Q26" s="8"/>
      <c r="R26" s="8" t="s">
        <v>52</v>
      </c>
      <c r="S26" s="8" t="s">
        <v>55</v>
      </c>
      <c r="T26" s="8" t="s">
        <v>76</v>
      </c>
      <c r="U26" s="8" t="n">
        <v>1</v>
      </c>
      <c r="V26" s="10" t="s">
        <v>57</v>
      </c>
      <c r="W26" s="8" t="n">
        <v>1</v>
      </c>
      <c r="X26" s="10" t="s">
        <v>57</v>
      </c>
      <c r="Y26" s="8" t="n">
        <v>4.75</v>
      </c>
      <c r="Z26" s="8" t="s">
        <v>58</v>
      </c>
      <c r="AA26" s="8" t="s">
        <v>69</v>
      </c>
      <c r="AB26" s="8" t="s">
        <v>52</v>
      </c>
      <c r="AC26" s="11" t="s">
        <v>164</v>
      </c>
    </row>
    <row r="27" customFormat="false" ht="15" hidden="false" customHeight="false" outlineLevel="0" collapsed="false">
      <c r="A27" s="8" t="s">
        <v>165</v>
      </c>
      <c r="B27" s="8" t="s">
        <v>161</v>
      </c>
      <c r="C27" s="8" t="s">
        <v>166</v>
      </c>
      <c r="D27" s="8" t="s">
        <v>167</v>
      </c>
      <c r="E27" s="8" t="s">
        <v>55</v>
      </c>
      <c r="F27" s="8"/>
      <c r="G27" s="8" t="n">
        <v>180</v>
      </c>
      <c r="H27" s="8" t="s">
        <v>168</v>
      </c>
      <c r="I27" s="8" t="n">
        <v>85</v>
      </c>
      <c r="J27" s="8" t="n">
        <v>2.5</v>
      </c>
      <c r="K27" s="8" t="n">
        <v>1.6</v>
      </c>
      <c r="L27" s="8" t="n">
        <v>13</v>
      </c>
      <c r="M27" s="8" t="n">
        <v>12</v>
      </c>
      <c r="N27" s="8" t="n">
        <v>0</v>
      </c>
      <c r="O27" s="8" t="n">
        <v>3</v>
      </c>
      <c r="P27" s="8" t="n">
        <v>50</v>
      </c>
      <c r="Q27" s="8"/>
      <c r="R27" s="8" t="s">
        <v>52</v>
      </c>
      <c r="S27" s="8" t="s">
        <v>55</v>
      </c>
      <c r="T27" s="8" t="s">
        <v>76</v>
      </c>
      <c r="U27" s="8" t="n">
        <v>1.5</v>
      </c>
      <c r="V27" s="10" t="s">
        <v>57</v>
      </c>
      <c r="W27" s="8" t="n">
        <v>1.5</v>
      </c>
      <c r="X27" s="10" t="s">
        <v>57</v>
      </c>
      <c r="Y27" s="8" t="n">
        <v>3.75</v>
      </c>
      <c r="Z27" s="8" t="s">
        <v>58</v>
      </c>
      <c r="AA27" s="8" t="s">
        <v>69</v>
      </c>
      <c r="AB27" s="8" t="s">
        <v>52</v>
      </c>
      <c r="AC27" s="11" t="s">
        <v>169</v>
      </c>
    </row>
    <row r="28" customFormat="false" ht="15" hidden="false" customHeight="false" outlineLevel="0" collapsed="false">
      <c r="A28" s="8" t="s">
        <v>170</v>
      </c>
      <c r="B28" s="8" t="s">
        <v>171</v>
      </c>
      <c r="C28" s="8" t="s">
        <v>172</v>
      </c>
      <c r="D28" s="8" t="s">
        <v>163</v>
      </c>
      <c r="E28" s="8" t="s">
        <v>52</v>
      </c>
      <c r="F28" s="8"/>
      <c r="G28" s="8" t="n">
        <v>400</v>
      </c>
      <c r="H28" s="8" t="s">
        <v>54</v>
      </c>
      <c r="I28" s="8" t="n">
        <v>67</v>
      </c>
      <c r="J28" s="8" t="n">
        <v>3.1</v>
      </c>
      <c r="K28" s="8" t="n">
        <v>2</v>
      </c>
      <c r="L28" s="8" t="n">
        <v>4.7</v>
      </c>
      <c r="M28" s="8" t="n">
        <v>4.7</v>
      </c>
      <c r="N28" s="8" t="n">
        <v>0</v>
      </c>
      <c r="O28" s="8" t="n">
        <v>3.4</v>
      </c>
      <c r="P28" s="8" t="n">
        <v>50</v>
      </c>
      <c r="Q28" s="8"/>
      <c r="R28" s="8" t="s">
        <v>52</v>
      </c>
      <c r="S28" s="8" t="s">
        <v>55</v>
      </c>
      <c r="T28" s="8" t="s">
        <v>76</v>
      </c>
      <c r="U28" s="8" t="n">
        <v>4.5</v>
      </c>
      <c r="V28" s="12" t="s">
        <v>125</v>
      </c>
      <c r="W28" s="8" t="n">
        <v>4.5</v>
      </c>
      <c r="X28" s="12" t="s">
        <v>125</v>
      </c>
      <c r="Y28" s="8" t="n">
        <v>0</v>
      </c>
      <c r="Z28" s="8" t="s">
        <v>126</v>
      </c>
      <c r="AA28" s="8" t="s">
        <v>69</v>
      </c>
      <c r="AB28" s="8" t="s">
        <v>52</v>
      </c>
      <c r="AC28" s="8" t="s">
        <v>173</v>
      </c>
    </row>
    <row r="29" customFormat="false" ht="15" hidden="false" customHeight="false" outlineLevel="0" collapsed="false">
      <c r="A29" s="8" t="s">
        <v>174</v>
      </c>
      <c r="B29" s="8" t="s">
        <v>161</v>
      </c>
      <c r="C29" s="8" t="s">
        <v>175</v>
      </c>
      <c r="D29" s="8" t="s">
        <v>163</v>
      </c>
      <c r="E29" s="8" t="s">
        <v>55</v>
      </c>
      <c r="F29" s="8"/>
      <c r="G29" s="8" t="n">
        <v>500</v>
      </c>
      <c r="H29" s="8" t="s">
        <v>168</v>
      </c>
      <c r="I29" s="8" t="n">
        <v>58</v>
      </c>
      <c r="J29" s="8" t="n">
        <v>3</v>
      </c>
      <c r="K29" s="8" t="n">
        <v>1.9</v>
      </c>
      <c r="L29" s="8" t="n">
        <v>4.7</v>
      </c>
      <c r="M29" s="8" t="n">
        <v>4.7</v>
      </c>
      <c r="N29" s="8" t="n">
        <v>0</v>
      </c>
      <c r="O29" s="8" t="n">
        <v>3</v>
      </c>
      <c r="P29" s="8" t="n">
        <v>45</v>
      </c>
      <c r="Q29" s="8"/>
      <c r="R29" s="8" t="s">
        <v>52</v>
      </c>
      <c r="S29" s="8" t="s">
        <v>55</v>
      </c>
      <c r="T29" s="8" t="s">
        <v>76</v>
      </c>
      <c r="U29" s="8" t="n">
        <v>4.5</v>
      </c>
      <c r="V29" s="12" t="s">
        <v>125</v>
      </c>
      <c r="W29" s="8" t="n">
        <v>4.5</v>
      </c>
      <c r="X29" s="12" t="s">
        <v>125</v>
      </c>
      <c r="Y29" s="8" t="n">
        <v>0.75</v>
      </c>
      <c r="Z29" s="8" t="s">
        <v>126</v>
      </c>
      <c r="AA29" s="8" t="s">
        <v>69</v>
      </c>
      <c r="AB29" s="8" t="s">
        <v>52</v>
      </c>
      <c r="AC29" s="8" t="s">
        <v>176</v>
      </c>
    </row>
    <row r="30" customFormat="false" ht="23.85" hidden="false" customHeight="false" outlineLevel="0" collapsed="false">
      <c r="A30" s="8" t="s">
        <v>177</v>
      </c>
      <c r="B30" s="8" t="s">
        <v>178</v>
      </c>
      <c r="C30" s="8" t="s">
        <v>179</v>
      </c>
      <c r="D30" s="8" t="s">
        <v>167</v>
      </c>
      <c r="E30" s="8" t="s">
        <v>55</v>
      </c>
      <c r="F30" s="8"/>
      <c r="G30" s="8" t="n">
        <v>200</v>
      </c>
      <c r="H30" s="8" t="s">
        <v>168</v>
      </c>
      <c r="I30" s="8" t="n">
        <v>65</v>
      </c>
      <c r="J30" s="8" t="n">
        <v>0</v>
      </c>
      <c r="K30" s="8" t="n">
        <v>0</v>
      </c>
      <c r="L30" s="8" t="n">
        <v>16</v>
      </c>
      <c r="M30" s="8" t="n">
        <v>15.6</v>
      </c>
      <c r="N30" s="8" t="n">
        <v>0</v>
      </c>
      <c r="O30" s="8" t="n">
        <v>0</v>
      </c>
      <c r="P30" s="8" t="n">
        <v>20</v>
      </c>
      <c r="Q30" s="8"/>
      <c r="R30" s="8" t="s">
        <v>52</v>
      </c>
      <c r="S30" s="8" t="s">
        <v>55</v>
      </c>
      <c r="T30" s="8"/>
      <c r="U30" s="8" t="n">
        <v>2</v>
      </c>
      <c r="V30" s="10" t="s">
        <v>57</v>
      </c>
      <c r="W30" s="8" t="n">
        <v>2</v>
      </c>
      <c r="X30" s="10" t="s">
        <v>57</v>
      </c>
      <c r="Y30" s="8" t="n">
        <v>3.5</v>
      </c>
      <c r="Z30" s="8" t="s">
        <v>58</v>
      </c>
      <c r="AA30" s="8" t="s">
        <v>69</v>
      </c>
      <c r="AB30" s="8" t="s">
        <v>52</v>
      </c>
      <c r="AC30" s="11" t="s">
        <v>180</v>
      </c>
    </row>
    <row r="31" customFormat="false" ht="23.85" hidden="false" customHeight="false" outlineLevel="0" collapsed="false">
      <c r="A31" s="8" t="s">
        <v>181</v>
      </c>
      <c r="B31" s="8" t="s">
        <v>182</v>
      </c>
      <c r="C31" s="8" t="s">
        <v>183</v>
      </c>
      <c r="D31" s="8" t="s">
        <v>167</v>
      </c>
      <c r="E31" s="8" t="s">
        <v>55</v>
      </c>
      <c r="F31" s="8"/>
      <c r="G31" s="8" t="n">
        <v>250</v>
      </c>
      <c r="H31" s="8" t="s">
        <v>168</v>
      </c>
      <c r="I31" s="8" t="n">
        <v>64</v>
      </c>
      <c r="J31" s="8" t="n">
        <v>0</v>
      </c>
      <c r="K31" s="8" t="n">
        <v>0</v>
      </c>
      <c r="L31" s="8" t="n">
        <v>16</v>
      </c>
      <c r="M31" s="8" t="n">
        <v>15.6</v>
      </c>
      <c r="N31" s="8" t="n">
        <v>0</v>
      </c>
      <c r="O31" s="8" t="n">
        <v>0</v>
      </c>
      <c r="P31" s="8" t="n">
        <v>25</v>
      </c>
      <c r="Q31" s="8"/>
      <c r="R31" s="8" t="s">
        <v>52</v>
      </c>
      <c r="S31" s="8" t="s">
        <v>55</v>
      </c>
      <c r="T31" s="8"/>
      <c r="U31" s="8" t="n">
        <v>2</v>
      </c>
      <c r="V31" s="10" t="s">
        <v>57</v>
      </c>
      <c r="W31" s="8" t="n">
        <v>1.5</v>
      </c>
      <c r="X31" s="10" t="s">
        <v>57</v>
      </c>
      <c r="Y31" s="8" t="n">
        <v>3.75</v>
      </c>
      <c r="Z31" s="8" t="s">
        <v>58</v>
      </c>
      <c r="AA31" s="8" t="s">
        <v>69</v>
      </c>
      <c r="AB31" s="8" t="s">
        <v>52</v>
      </c>
      <c r="AC31" s="11" t="s">
        <v>184</v>
      </c>
    </row>
    <row r="32" customFormat="false" ht="23.85" hidden="false" customHeight="false" outlineLevel="0" collapsed="false">
      <c r="A32" s="8" t="s">
        <v>185</v>
      </c>
      <c r="B32" s="8" t="s">
        <v>186</v>
      </c>
      <c r="C32" s="8" t="s">
        <v>187</v>
      </c>
      <c r="D32" s="8" t="s">
        <v>167</v>
      </c>
      <c r="E32" s="8" t="s">
        <v>55</v>
      </c>
      <c r="F32" s="8"/>
      <c r="G32" s="8" t="n">
        <v>1000</v>
      </c>
      <c r="H32" s="8" t="s">
        <v>168</v>
      </c>
      <c r="I32" s="8" t="n">
        <v>56</v>
      </c>
      <c r="J32" s="8" t="n">
        <v>0</v>
      </c>
      <c r="K32" s="8" t="n">
        <v>0</v>
      </c>
      <c r="L32" s="8" t="n">
        <v>14</v>
      </c>
      <c r="M32" s="8" t="n">
        <v>13</v>
      </c>
      <c r="N32" s="8" t="n">
        <v>0</v>
      </c>
      <c r="O32" s="8" t="n">
        <v>0.3</v>
      </c>
      <c r="P32" s="8" t="n">
        <v>15</v>
      </c>
      <c r="Q32" s="8"/>
      <c r="R32" s="8" t="s">
        <v>52</v>
      </c>
      <c r="S32" s="8" t="s">
        <v>55</v>
      </c>
      <c r="T32" s="8"/>
      <c r="U32" s="8" t="n">
        <v>2</v>
      </c>
      <c r="V32" s="10" t="s">
        <v>57</v>
      </c>
      <c r="W32" s="8" t="n">
        <v>2</v>
      </c>
      <c r="X32" s="10" t="s">
        <v>57</v>
      </c>
      <c r="Y32" s="8" t="n">
        <v>3.5</v>
      </c>
      <c r="Z32" s="8" t="s">
        <v>58</v>
      </c>
      <c r="AA32" s="8" t="s">
        <v>69</v>
      </c>
      <c r="AB32" s="8" t="s">
        <v>52</v>
      </c>
      <c r="AC32" s="11" t="s">
        <v>188</v>
      </c>
    </row>
    <row r="33" customFormat="false" ht="23.85" hidden="false" customHeight="false" outlineLevel="0" collapsed="false">
      <c r="A33" s="8" t="s">
        <v>189</v>
      </c>
      <c r="B33" s="8" t="s">
        <v>190</v>
      </c>
      <c r="C33" s="8" t="s">
        <v>191</v>
      </c>
      <c r="D33" s="8" t="s">
        <v>167</v>
      </c>
      <c r="E33" s="8" t="s">
        <v>55</v>
      </c>
      <c r="F33" s="8"/>
      <c r="G33" s="8" t="n">
        <v>200</v>
      </c>
      <c r="H33" s="8" t="s">
        <v>168</v>
      </c>
      <c r="I33" s="8" t="n">
        <v>50</v>
      </c>
      <c r="J33" s="8" t="n">
        <v>0</v>
      </c>
      <c r="K33" s="8" t="n">
        <v>0</v>
      </c>
      <c r="L33" s="8" t="n">
        <v>12.5</v>
      </c>
      <c r="M33" s="8" t="n">
        <v>12</v>
      </c>
      <c r="N33" s="8" t="n">
        <v>0</v>
      </c>
      <c r="O33" s="8" t="n">
        <v>0</v>
      </c>
      <c r="P33" s="8" t="n">
        <v>180</v>
      </c>
      <c r="Q33" s="8"/>
      <c r="R33" s="8" t="s">
        <v>52</v>
      </c>
      <c r="S33" s="8" t="s">
        <v>55</v>
      </c>
      <c r="T33" s="8"/>
      <c r="U33" s="8" t="n">
        <v>2</v>
      </c>
      <c r="V33" s="10" t="s">
        <v>57</v>
      </c>
      <c r="W33" s="8" t="n">
        <v>1.5</v>
      </c>
      <c r="X33" s="10" t="s">
        <v>57</v>
      </c>
      <c r="Y33" s="8" t="n">
        <v>3.5</v>
      </c>
      <c r="Z33" s="8" t="s">
        <v>58</v>
      </c>
      <c r="AA33" s="8" t="s">
        <v>69</v>
      </c>
      <c r="AB33" s="8" t="s">
        <v>52</v>
      </c>
      <c r="AC33" s="11" t="s">
        <v>192</v>
      </c>
    </row>
    <row r="34" customFormat="false" ht="23.85" hidden="false" customHeight="false" outlineLevel="0" collapsed="false">
      <c r="A34" s="8" t="s">
        <v>193</v>
      </c>
      <c r="B34" s="8" t="s">
        <v>194</v>
      </c>
      <c r="C34" s="8" t="s">
        <v>195</v>
      </c>
      <c r="D34" s="8" t="s">
        <v>167</v>
      </c>
      <c r="E34" s="8" t="s">
        <v>55</v>
      </c>
      <c r="F34" s="8"/>
      <c r="G34" s="8" t="n">
        <v>300</v>
      </c>
      <c r="H34" s="8" t="s">
        <v>168</v>
      </c>
      <c r="I34" s="8" t="n">
        <v>42</v>
      </c>
      <c r="J34" s="8" t="n">
        <v>0</v>
      </c>
      <c r="K34" s="8" t="n">
        <v>0</v>
      </c>
      <c r="L34" s="8" t="n">
        <v>10.5</v>
      </c>
      <c r="M34" s="8" t="n">
        <v>10.5</v>
      </c>
      <c r="N34" s="8" t="n">
        <v>0</v>
      </c>
      <c r="O34" s="8" t="n">
        <v>0</v>
      </c>
      <c r="P34" s="8" t="n">
        <v>10</v>
      </c>
      <c r="Q34" s="8"/>
      <c r="R34" s="8" t="s">
        <v>55</v>
      </c>
      <c r="S34" s="8" t="s">
        <v>55</v>
      </c>
      <c r="T34" s="8"/>
      <c r="U34" s="8" t="n">
        <v>1</v>
      </c>
      <c r="V34" s="10" t="s">
        <v>57</v>
      </c>
      <c r="W34" s="8" t="n">
        <v>1</v>
      </c>
      <c r="X34" s="10" t="s">
        <v>57</v>
      </c>
      <c r="Y34" s="8" t="n">
        <v>4.5</v>
      </c>
      <c r="Z34" s="8" t="s">
        <v>58</v>
      </c>
      <c r="AA34" s="8" t="s">
        <v>69</v>
      </c>
      <c r="AB34" s="8" t="s">
        <v>52</v>
      </c>
      <c r="AC34" s="11" t="s">
        <v>196</v>
      </c>
    </row>
    <row r="35" customFormat="false" ht="23.85" hidden="false" customHeight="false" outlineLevel="0" collapsed="false">
      <c r="A35" s="8" t="s">
        <v>197</v>
      </c>
      <c r="B35" s="8" t="s">
        <v>198</v>
      </c>
      <c r="C35" s="8" t="s">
        <v>199</v>
      </c>
      <c r="D35" s="8" t="s">
        <v>200</v>
      </c>
      <c r="E35" s="8" t="s">
        <v>52</v>
      </c>
      <c r="F35" s="8"/>
      <c r="G35" s="8" t="n">
        <v>500</v>
      </c>
      <c r="H35" s="8" t="s">
        <v>54</v>
      </c>
      <c r="I35" s="8" t="n">
        <v>387</v>
      </c>
      <c r="J35" s="8" t="n">
        <v>1.8</v>
      </c>
      <c r="K35" s="8" t="n">
        <v>1</v>
      </c>
      <c r="L35" s="8" t="n">
        <v>86</v>
      </c>
      <c r="M35" s="8" t="n">
        <v>32</v>
      </c>
      <c r="N35" s="8" t="n">
        <v>3</v>
      </c>
      <c r="O35" s="8" t="n">
        <v>7</v>
      </c>
      <c r="P35" s="8" t="n">
        <v>250</v>
      </c>
      <c r="Q35" s="8"/>
      <c r="R35" s="8" t="s">
        <v>52</v>
      </c>
      <c r="S35" s="8" t="s">
        <v>55</v>
      </c>
      <c r="T35" s="8" t="s">
        <v>132</v>
      </c>
      <c r="U35" s="8" t="n">
        <v>3</v>
      </c>
      <c r="V35" s="9" t="s">
        <v>56</v>
      </c>
      <c r="W35" s="8" t="n">
        <v>2</v>
      </c>
      <c r="X35" s="10" t="s">
        <v>57</v>
      </c>
      <c r="Y35" s="8" t="n">
        <v>3.5</v>
      </c>
      <c r="Z35" s="8" t="s">
        <v>58</v>
      </c>
      <c r="AA35" s="8" t="s">
        <v>69</v>
      </c>
      <c r="AB35" s="8" t="s">
        <v>52</v>
      </c>
      <c r="AC35" s="11" t="s">
        <v>201</v>
      </c>
    </row>
    <row r="36" customFormat="false" ht="15" hidden="false" customHeight="false" outlineLevel="0" collapsed="false">
      <c r="A36" s="8" t="s">
        <v>202</v>
      </c>
      <c r="B36" s="8" t="s">
        <v>203</v>
      </c>
      <c r="C36" s="8" t="s">
        <v>204</v>
      </c>
      <c r="D36" s="8" t="s">
        <v>200</v>
      </c>
      <c r="E36" s="8" t="s">
        <v>52</v>
      </c>
      <c r="F36" s="8"/>
      <c r="G36" s="8" t="n">
        <v>500</v>
      </c>
      <c r="H36" s="8" t="s">
        <v>54</v>
      </c>
      <c r="I36" s="8" t="n">
        <v>377</v>
      </c>
      <c r="J36" s="8" t="n">
        <v>2</v>
      </c>
      <c r="K36" s="8" t="n">
        <v>1</v>
      </c>
      <c r="L36" s="8" t="n">
        <v>79</v>
      </c>
      <c r="M36" s="8" t="n">
        <v>15</v>
      </c>
      <c r="N36" s="8" t="n">
        <v>2</v>
      </c>
      <c r="O36" s="8" t="n">
        <v>11</v>
      </c>
      <c r="P36" s="8" t="n">
        <v>280</v>
      </c>
      <c r="Q36" s="8"/>
      <c r="R36" s="8" t="s">
        <v>52</v>
      </c>
      <c r="S36" s="8" t="s">
        <v>55</v>
      </c>
      <c r="T36" s="8" t="s">
        <v>132</v>
      </c>
      <c r="U36" s="8" t="n">
        <v>3.5</v>
      </c>
      <c r="V36" s="9" t="s">
        <v>56</v>
      </c>
      <c r="W36" s="8" t="n">
        <v>3</v>
      </c>
      <c r="X36" s="9" t="s">
        <v>56</v>
      </c>
      <c r="Y36" s="8" t="n">
        <v>0.25</v>
      </c>
      <c r="Z36" s="8" t="s">
        <v>126</v>
      </c>
      <c r="AA36" s="8" t="s">
        <v>69</v>
      </c>
      <c r="AB36" s="8" t="s">
        <v>52</v>
      </c>
      <c r="AC36" s="11" t="s">
        <v>205</v>
      </c>
    </row>
    <row r="37" customFormat="false" ht="23.85" hidden="false" customHeight="false" outlineLevel="0" collapsed="false">
      <c r="A37" s="8" t="s">
        <v>206</v>
      </c>
      <c r="B37" s="8" t="s">
        <v>198</v>
      </c>
      <c r="C37" s="8" t="s">
        <v>207</v>
      </c>
      <c r="D37" s="8" t="s">
        <v>208</v>
      </c>
      <c r="E37" s="8" t="s">
        <v>52</v>
      </c>
      <c r="F37" s="8"/>
      <c r="G37" s="8" t="n">
        <v>50</v>
      </c>
      <c r="H37" s="8" t="s">
        <v>54</v>
      </c>
      <c r="I37" s="8" t="n">
        <v>534</v>
      </c>
      <c r="J37" s="8" t="n">
        <v>30</v>
      </c>
      <c r="K37" s="8" t="n">
        <v>18</v>
      </c>
      <c r="L37" s="8" t="n">
        <v>57</v>
      </c>
      <c r="M37" s="8" t="n">
        <v>56</v>
      </c>
      <c r="N37" s="8" t="n">
        <v>1</v>
      </c>
      <c r="O37" s="8" t="n">
        <v>7.7</v>
      </c>
      <c r="P37" s="8" t="n">
        <v>100</v>
      </c>
      <c r="Q37" s="8"/>
      <c r="R37" s="8" t="s">
        <v>52</v>
      </c>
      <c r="S37" s="8" t="s">
        <v>55</v>
      </c>
      <c r="T37" s="8" t="s">
        <v>209</v>
      </c>
      <c r="U37" s="8" t="n">
        <v>1</v>
      </c>
      <c r="V37" s="10" t="s">
        <v>57</v>
      </c>
      <c r="W37" s="8" t="n">
        <v>1</v>
      </c>
      <c r="X37" s="10" t="s">
        <v>57</v>
      </c>
      <c r="Y37" s="8" t="n">
        <v>5.5</v>
      </c>
      <c r="Z37" s="8" t="s">
        <v>58</v>
      </c>
      <c r="AA37" s="8" t="s">
        <v>69</v>
      </c>
      <c r="AB37" s="8" t="s">
        <v>52</v>
      </c>
      <c r="AC37" s="11" t="s">
        <v>210</v>
      </c>
    </row>
    <row r="38" customFormat="false" ht="15" hidden="false" customHeight="false" outlineLevel="0" collapsed="false">
      <c r="A38" s="8" t="s">
        <v>211</v>
      </c>
      <c r="B38" s="8" t="s">
        <v>161</v>
      </c>
      <c r="C38" s="8" t="s">
        <v>212</v>
      </c>
      <c r="D38" s="8" t="s">
        <v>208</v>
      </c>
      <c r="E38" s="8" t="s">
        <v>52</v>
      </c>
      <c r="F38" s="8"/>
      <c r="G38" s="8" t="n">
        <v>150</v>
      </c>
      <c r="H38" s="8" t="s">
        <v>54</v>
      </c>
      <c r="I38" s="8" t="n">
        <v>560</v>
      </c>
      <c r="J38" s="8" t="n">
        <v>37</v>
      </c>
      <c r="K38" s="8" t="n">
        <v>22</v>
      </c>
      <c r="L38" s="8" t="n">
        <v>48</v>
      </c>
      <c r="M38" s="8" t="n">
        <v>40</v>
      </c>
      <c r="N38" s="8" t="n">
        <v>7</v>
      </c>
      <c r="O38" s="8" t="n">
        <v>7</v>
      </c>
      <c r="P38" s="8" t="n">
        <v>20</v>
      </c>
      <c r="Q38" s="8"/>
      <c r="R38" s="8" t="s">
        <v>52</v>
      </c>
      <c r="S38" s="8" t="s">
        <v>55</v>
      </c>
      <c r="T38" s="8" t="s">
        <v>213</v>
      </c>
      <c r="U38" s="8" t="n">
        <v>2</v>
      </c>
      <c r="V38" s="10" t="s">
        <v>57</v>
      </c>
      <c r="W38" s="8" t="n">
        <v>2</v>
      </c>
      <c r="X38" s="10" t="s">
        <v>57</v>
      </c>
      <c r="Y38" s="8" t="n">
        <v>4.75</v>
      </c>
      <c r="Z38" s="8" t="s">
        <v>58</v>
      </c>
      <c r="AA38" s="8" t="s">
        <v>69</v>
      </c>
      <c r="AB38" s="8" t="s">
        <v>52</v>
      </c>
      <c r="AC38" s="11" t="s">
        <v>214</v>
      </c>
    </row>
    <row r="39" customFormat="false" ht="23.85" hidden="false" customHeight="false" outlineLevel="0" collapsed="false">
      <c r="A39" s="8" t="s">
        <v>215</v>
      </c>
      <c r="B39" s="8" t="s">
        <v>216</v>
      </c>
      <c r="C39" s="8" t="s">
        <v>217</v>
      </c>
      <c r="D39" s="8" t="s">
        <v>218</v>
      </c>
      <c r="E39" s="8" t="s">
        <v>52</v>
      </c>
      <c r="F39" s="8"/>
      <c r="G39" s="8" t="n">
        <v>500</v>
      </c>
      <c r="H39" s="8" t="s">
        <v>54</v>
      </c>
      <c r="I39" s="8" t="n">
        <v>125</v>
      </c>
      <c r="J39" s="8" t="n">
        <v>0.1</v>
      </c>
      <c r="K39" s="8" t="n">
        <v>0</v>
      </c>
      <c r="L39" s="8" t="n">
        <v>30</v>
      </c>
      <c r="M39" s="8" t="n">
        <v>28</v>
      </c>
      <c r="N39" s="8" t="n">
        <v>1</v>
      </c>
      <c r="O39" s="8" t="n">
        <v>1.3</v>
      </c>
      <c r="P39" s="8" t="n">
        <v>900</v>
      </c>
      <c r="Q39" s="8"/>
      <c r="R39" s="8" t="s">
        <v>52</v>
      </c>
      <c r="S39" s="8" t="s">
        <v>55</v>
      </c>
      <c r="T39" s="8"/>
      <c r="U39" s="8" t="n">
        <v>1.5</v>
      </c>
      <c r="V39" s="10" t="s">
        <v>57</v>
      </c>
      <c r="W39" s="8" t="n">
        <v>1.5</v>
      </c>
      <c r="X39" s="10" t="s">
        <v>57</v>
      </c>
      <c r="Y39" s="8" t="n">
        <v>2.75</v>
      </c>
      <c r="Z39" s="8" t="s">
        <v>99</v>
      </c>
      <c r="AA39" s="8" t="s">
        <v>69</v>
      </c>
      <c r="AB39" s="8" t="s">
        <v>52</v>
      </c>
      <c r="AC39" s="11" t="s">
        <v>219</v>
      </c>
    </row>
    <row r="40" customFormat="false" ht="15" hidden="false" customHeight="false" outlineLevel="0" collapsed="false">
      <c r="A40" s="8" t="s">
        <v>220</v>
      </c>
      <c r="B40" s="8" t="s">
        <v>221</v>
      </c>
      <c r="C40" s="8" t="s">
        <v>222</v>
      </c>
      <c r="D40" s="8" t="s">
        <v>167</v>
      </c>
      <c r="E40" s="8" t="s">
        <v>55</v>
      </c>
      <c r="F40" s="8" t="s">
        <v>223</v>
      </c>
      <c r="G40" s="8" t="n">
        <v>250</v>
      </c>
      <c r="H40" s="8" t="s">
        <v>168</v>
      </c>
      <c r="I40" s="8" t="n">
        <v>40</v>
      </c>
      <c r="J40" s="8" t="n">
        <v>0</v>
      </c>
      <c r="K40" s="8" t="n">
        <v>0</v>
      </c>
      <c r="L40" s="8" t="n">
        <v>10</v>
      </c>
      <c r="M40" s="8" t="n">
        <v>9.8</v>
      </c>
      <c r="N40" s="8" t="n">
        <v>0</v>
      </c>
      <c r="O40" s="8" t="n">
        <v>0</v>
      </c>
      <c r="P40" s="8" t="n">
        <v>14</v>
      </c>
      <c r="Q40" s="8" t="n">
        <v>4</v>
      </c>
      <c r="R40" s="8" t="s">
        <v>52</v>
      </c>
      <c r="S40" s="8" t="s">
        <v>55</v>
      </c>
      <c r="T40" s="8"/>
      <c r="U40" s="8" t="n">
        <v>2</v>
      </c>
      <c r="V40" s="10" t="s">
        <v>57</v>
      </c>
      <c r="W40" s="8" t="n">
        <v>2</v>
      </c>
      <c r="X40" s="10" t="s">
        <v>57</v>
      </c>
      <c r="Y40" s="8" t="n">
        <v>3.5</v>
      </c>
      <c r="Z40" s="8" t="s">
        <v>58</v>
      </c>
      <c r="AA40" s="8" t="s">
        <v>224</v>
      </c>
      <c r="AB40" s="8" t="s">
        <v>55</v>
      </c>
      <c r="AC40" s="8"/>
    </row>
    <row r="41" customFormat="false" ht="15" hidden="false" customHeight="false" outlineLevel="0" collapsed="false">
      <c r="A41" s="8" t="s">
        <v>225</v>
      </c>
      <c r="B41" s="8" t="s">
        <v>226</v>
      </c>
      <c r="C41" s="8" t="s">
        <v>226</v>
      </c>
      <c r="D41" s="8" t="s">
        <v>167</v>
      </c>
      <c r="E41" s="8" t="s">
        <v>55</v>
      </c>
      <c r="F41" s="8" t="s">
        <v>227</v>
      </c>
      <c r="G41" s="8" t="n">
        <v>250</v>
      </c>
      <c r="H41" s="8" t="s">
        <v>168</v>
      </c>
      <c r="I41" s="8" t="n">
        <v>44</v>
      </c>
      <c r="J41" s="8" t="n">
        <v>0</v>
      </c>
      <c r="K41" s="8" t="n">
        <v>0</v>
      </c>
      <c r="L41" s="8" t="n">
        <v>10.9</v>
      </c>
      <c r="M41" s="8" t="n">
        <v>10.6</v>
      </c>
      <c r="N41" s="8" t="n">
        <v>0</v>
      </c>
      <c r="O41" s="8" t="n">
        <v>0</v>
      </c>
      <c r="P41" s="8" t="n">
        <v>8.5</v>
      </c>
      <c r="Q41" s="8" t="n">
        <v>4</v>
      </c>
      <c r="R41" s="8" t="s">
        <v>55</v>
      </c>
      <c r="S41" s="8" t="s">
        <v>55</v>
      </c>
      <c r="T41" s="8"/>
      <c r="U41" s="8" t="n">
        <v>2</v>
      </c>
      <c r="V41" s="10" t="s">
        <v>57</v>
      </c>
      <c r="W41" s="8" t="n">
        <v>1</v>
      </c>
      <c r="X41" s="10" t="s">
        <v>57</v>
      </c>
      <c r="Y41" s="8" t="n">
        <v>3.5</v>
      </c>
      <c r="Z41" s="8" t="s">
        <v>58</v>
      </c>
      <c r="AA41" s="8" t="s">
        <v>224</v>
      </c>
      <c r="AB41" s="8" t="s">
        <v>55</v>
      </c>
      <c r="AC41" s="8"/>
    </row>
    <row r="42" customFormat="false" ht="15" hidden="false" customHeight="false" outlineLevel="0" collapsed="false">
      <c r="A42" s="8" t="s">
        <v>228</v>
      </c>
      <c r="B42" s="8" t="s">
        <v>229</v>
      </c>
      <c r="C42" s="8" t="s">
        <v>229</v>
      </c>
      <c r="D42" s="8" t="s">
        <v>167</v>
      </c>
      <c r="E42" s="8" t="s">
        <v>55</v>
      </c>
      <c r="F42" s="8" t="s">
        <v>230</v>
      </c>
      <c r="G42" s="8" t="n">
        <v>250</v>
      </c>
      <c r="H42" s="8" t="s">
        <v>168</v>
      </c>
      <c r="I42" s="8" t="n">
        <v>43</v>
      </c>
      <c r="J42" s="8" t="n">
        <v>0</v>
      </c>
      <c r="K42" s="8" t="n">
        <v>0</v>
      </c>
      <c r="L42" s="8" t="n">
        <v>10.9</v>
      </c>
      <c r="M42" s="8" t="n">
        <v>10.9</v>
      </c>
      <c r="N42" s="8" t="n">
        <v>0</v>
      </c>
      <c r="O42" s="8" t="n">
        <v>0</v>
      </c>
      <c r="P42" s="8" t="n">
        <v>3</v>
      </c>
      <c r="Q42" s="8" t="n">
        <v>4</v>
      </c>
      <c r="R42" s="8" t="s">
        <v>55</v>
      </c>
      <c r="S42" s="8" t="s">
        <v>55</v>
      </c>
      <c r="T42" s="8"/>
      <c r="U42" s="8" t="n">
        <v>2</v>
      </c>
      <c r="V42" s="10" t="s">
        <v>57</v>
      </c>
      <c r="W42" s="8" t="n">
        <v>1</v>
      </c>
      <c r="X42" s="10" t="s">
        <v>57</v>
      </c>
      <c r="Y42" s="8" t="n">
        <v>3.5</v>
      </c>
      <c r="Z42" s="8" t="s">
        <v>58</v>
      </c>
      <c r="AA42" s="8" t="s">
        <v>224</v>
      </c>
      <c r="AB42" s="8" t="s">
        <v>55</v>
      </c>
      <c r="AC42" s="8"/>
    </row>
    <row r="43" customFormat="false" ht="15" hidden="false" customHeight="false" outlineLevel="0" collapsed="false">
      <c r="A43" s="8" t="s">
        <v>231</v>
      </c>
      <c r="B43" s="8" t="s">
        <v>232</v>
      </c>
      <c r="C43" s="8" t="s">
        <v>233</v>
      </c>
      <c r="D43" s="8" t="s">
        <v>167</v>
      </c>
      <c r="E43" s="8" t="s">
        <v>55</v>
      </c>
      <c r="F43" s="8" t="s">
        <v>234</v>
      </c>
      <c r="G43" s="8" t="n">
        <v>250</v>
      </c>
      <c r="H43" s="8" t="s">
        <v>168</v>
      </c>
      <c r="I43" s="8" t="n">
        <v>44</v>
      </c>
      <c r="J43" s="8" t="n">
        <v>0</v>
      </c>
      <c r="K43" s="8" t="n">
        <v>0</v>
      </c>
      <c r="L43" s="8" t="n">
        <v>11.1</v>
      </c>
      <c r="M43" s="8" t="n">
        <v>10.7</v>
      </c>
      <c r="N43" s="8" t="n">
        <v>0</v>
      </c>
      <c r="O43" s="8" t="n">
        <v>0</v>
      </c>
      <c r="P43" s="8" t="n">
        <v>0</v>
      </c>
      <c r="Q43" s="8" t="n">
        <v>4</v>
      </c>
      <c r="R43" s="8" t="s">
        <v>52</v>
      </c>
      <c r="S43" s="8" t="s">
        <v>55</v>
      </c>
      <c r="T43" s="8"/>
      <c r="U43" s="8" t="n">
        <v>2</v>
      </c>
      <c r="V43" s="10" t="s">
        <v>57</v>
      </c>
      <c r="W43" s="8" t="n">
        <v>2</v>
      </c>
      <c r="X43" s="10" t="s">
        <v>57</v>
      </c>
      <c r="Y43" s="8" t="n">
        <v>3.5</v>
      </c>
      <c r="Z43" s="8" t="s">
        <v>58</v>
      </c>
      <c r="AA43" s="8" t="s">
        <v>224</v>
      </c>
      <c r="AB43" s="8" t="s">
        <v>55</v>
      </c>
      <c r="AC43" s="8"/>
    </row>
    <row r="44" customFormat="false" ht="15" hidden="false" customHeight="false" outlineLevel="0" collapsed="false">
      <c r="A44" s="8" t="s">
        <v>235</v>
      </c>
      <c r="B44" s="8" t="s">
        <v>236</v>
      </c>
      <c r="C44" s="8" t="s">
        <v>236</v>
      </c>
      <c r="D44" s="8" t="s">
        <v>167</v>
      </c>
      <c r="E44" s="8" t="s">
        <v>55</v>
      </c>
      <c r="F44" s="8" t="s">
        <v>237</v>
      </c>
      <c r="G44" s="8" t="n">
        <v>250</v>
      </c>
      <c r="H44" s="8" t="s">
        <v>168</v>
      </c>
      <c r="I44" s="8" t="n">
        <v>49</v>
      </c>
      <c r="J44" s="8" t="n">
        <v>0</v>
      </c>
      <c r="K44" s="8" t="n">
        <v>0</v>
      </c>
      <c r="L44" s="8" t="n">
        <v>12.3</v>
      </c>
      <c r="M44" s="8" t="n">
        <v>12.3</v>
      </c>
      <c r="N44" s="8" t="n">
        <v>0</v>
      </c>
      <c r="O44" s="8" t="n">
        <v>0</v>
      </c>
      <c r="P44" s="8" t="n">
        <v>8</v>
      </c>
      <c r="Q44" s="8" t="n">
        <v>4</v>
      </c>
      <c r="R44" s="8" t="s">
        <v>55</v>
      </c>
      <c r="S44" s="8" t="s">
        <v>55</v>
      </c>
      <c r="T44" s="8"/>
      <c r="U44" s="8" t="n">
        <v>2</v>
      </c>
      <c r="V44" s="10" t="s">
        <v>57</v>
      </c>
      <c r="W44" s="8" t="n">
        <v>1</v>
      </c>
      <c r="X44" s="10" t="s">
        <v>57</v>
      </c>
      <c r="Y44" s="8" t="n">
        <v>3.5</v>
      </c>
      <c r="Z44" s="8" t="s">
        <v>58</v>
      </c>
      <c r="AA44" s="8" t="s">
        <v>224</v>
      </c>
      <c r="AB44" s="8" t="s">
        <v>55</v>
      </c>
      <c r="AC44" s="8"/>
    </row>
    <row r="45" customFormat="false" ht="15" hidden="false" customHeight="false" outlineLevel="0" collapsed="false">
      <c r="A45" s="8" t="s">
        <v>238</v>
      </c>
      <c r="B45" s="8" t="s">
        <v>239</v>
      </c>
      <c r="C45" s="8" t="s">
        <v>240</v>
      </c>
      <c r="D45" s="8" t="s">
        <v>167</v>
      </c>
      <c r="E45" s="8" t="s">
        <v>55</v>
      </c>
      <c r="F45" s="8" t="s">
        <v>241</v>
      </c>
      <c r="G45" s="8" t="n">
        <v>250</v>
      </c>
      <c r="H45" s="8" t="s">
        <v>168</v>
      </c>
      <c r="I45" s="8" t="n">
        <v>55</v>
      </c>
      <c r="J45" s="8" t="n">
        <v>0</v>
      </c>
      <c r="K45" s="8" t="n">
        <v>0</v>
      </c>
      <c r="L45" s="8" t="n">
        <v>13.8</v>
      </c>
      <c r="M45" s="8" t="n">
        <v>13.8</v>
      </c>
      <c r="N45" s="8" t="n">
        <v>0</v>
      </c>
      <c r="O45" s="8" t="n">
        <v>0</v>
      </c>
      <c r="P45" s="8" t="n">
        <v>6</v>
      </c>
      <c r="Q45" s="8" t="n">
        <v>4</v>
      </c>
      <c r="R45" s="8" t="s">
        <v>52</v>
      </c>
      <c r="S45" s="8" t="s">
        <v>55</v>
      </c>
      <c r="T45" s="8"/>
      <c r="U45" s="8" t="n">
        <v>2</v>
      </c>
      <c r="V45" s="10" t="s">
        <v>57</v>
      </c>
      <c r="W45" s="8" t="n">
        <v>2</v>
      </c>
      <c r="X45" s="10" t="s">
        <v>57</v>
      </c>
      <c r="Y45" s="8" t="n">
        <v>3.5</v>
      </c>
      <c r="Z45" s="8" t="s">
        <v>58</v>
      </c>
      <c r="AA45" s="8" t="s">
        <v>224</v>
      </c>
      <c r="AB45" s="8" t="s">
        <v>55</v>
      </c>
      <c r="AC45" s="8"/>
    </row>
    <row r="46" customFormat="false" ht="15" hidden="false" customHeight="false" outlineLevel="0" collapsed="false">
      <c r="A46" s="8" t="s">
        <v>242</v>
      </c>
      <c r="B46" s="8" t="s">
        <v>243</v>
      </c>
      <c r="C46" s="8" t="s">
        <v>244</v>
      </c>
      <c r="D46" s="8" t="s">
        <v>167</v>
      </c>
      <c r="E46" s="8" t="s">
        <v>55</v>
      </c>
      <c r="F46" s="8" t="s">
        <v>245</v>
      </c>
      <c r="G46" s="8" t="n">
        <v>250</v>
      </c>
      <c r="H46" s="8" t="s">
        <v>168</v>
      </c>
      <c r="I46" s="8" t="n">
        <v>51.8</v>
      </c>
      <c r="J46" s="8" t="n">
        <v>0</v>
      </c>
      <c r="K46" s="8" t="n">
        <v>0</v>
      </c>
      <c r="L46" s="8" t="n">
        <v>12.95</v>
      </c>
      <c r="M46" s="8" t="n">
        <v>12.9</v>
      </c>
      <c r="N46" s="8" t="n">
        <v>0</v>
      </c>
      <c r="O46" s="8" t="n">
        <v>0</v>
      </c>
      <c r="P46" s="8" t="n">
        <v>21</v>
      </c>
      <c r="Q46" s="8" t="n">
        <v>4</v>
      </c>
      <c r="R46" s="8" t="s">
        <v>52</v>
      </c>
      <c r="S46" s="8" t="s">
        <v>55</v>
      </c>
      <c r="T46" s="8"/>
      <c r="U46" s="8" t="n">
        <v>2</v>
      </c>
      <c r="V46" s="10" t="s">
        <v>57</v>
      </c>
      <c r="W46" s="8" t="n">
        <v>2</v>
      </c>
      <c r="X46" s="10" t="s">
        <v>57</v>
      </c>
      <c r="Y46" s="8" t="n">
        <v>3.5</v>
      </c>
      <c r="Z46" s="8" t="s">
        <v>58</v>
      </c>
      <c r="AA46" s="8" t="s">
        <v>224</v>
      </c>
      <c r="AB46" s="8" t="s">
        <v>55</v>
      </c>
      <c r="AC46" s="8"/>
    </row>
    <row r="47" customFormat="false" ht="15" hidden="false" customHeight="false" outlineLevel="0" collapsed="false">
      <c r="A47" s="8" t="s">
        <v>246</v>
      </c>
      <c r="B47" s="8" t="s">
        <v>247</v>
      </c>
      <c r="C47" s="8" t="s">
        <v>248</v>
      </c>
      <c r="D47" s="8" t="s">
        <v>167</v>
      </c>
      <c r="E47" s="8" t="s">
        <v>55</v>
      </c>
      <c r="F47" s="8" t="s">
        <v>249</v>
      </c>
      <c r="G47" s="8" t="n">
        <v>250</v>
      </c>
      <c r="H47" s="8" t="s">
        <v>168</v>
      </c>
      <c r="I47" s="8" t="n">
        <v>28</v>
      </c>
      <c r="J47" s="8" t="n">
        <v>0</v>
      </c>
      <c r="K47" s="8" t="n">
        <v>0</v>
      </c>
      <c r="L47" s="8" t="n">
        <v>7</v>
      </c>
      <c r="M47" s="8" t="n">
        <v>6.8</v>
      </c>
      <c r="N47" s="8" t="n">
        <v>0</v>
      </c>
      <c r="O47" s="8" t="n">
        <v>0</v>
      </c>
      <c r="P47" s="8" t="n">
        <v>41</v>
      </c>
      <c r="Q47" s="8" t="n">
        <v>4</v>
      </c>
      <c r="R47" s="8" t="s">
        <v>55</v>
      </c>
      <c r="S47" s="8" t="s">
        <v>55</v>
      </c>
      <c r="T47" s="8"/>
      <c r="U47" s="8" t="n">
        <v>3</v>
      </c>
      <c r="V47" s="9" t="s">
        <v>56</v>
      </c>
      <c r="W47" s="8" t="n">
        <v>2</v>
      </c>
      <c r="X47" s="10" t="s">
        <v>57</v>
      </c>
      <c r="Y47" s="8" t="n">
        <v>2.75</v>
      </c>
      <c r="Z47" s="8" t="s">
        <v>99</v>
      </c>
      <c r="AA47" s="8" t="s">
        <v>224</v>
      </c>
      <c r="AB47" s="8" t="s">
        <v>55</v>
      </c>
      <c r="AC47" s="8"/>
    </row>
    <row r="48" customFormat="false" ht="15" hidden="false" customHeight="false" outlineLevel="0" collapsed="false">
      <c r="A48" s="8" t="s">
        <v>250</v>
      </c>
      <c r="B48" s="8" t="s">
        <v>251</v>
      </c>
      <c r="C48" s="8" t="s">
        <v>252</v>
      </c>
      <c r="D48" s="8" t="s">
        <v>167</v>
      </c>
      <c r="E48" s="8" t="s">
        <v>55</v>
      </c>
      <c r="F48" s="8"/>
      <c r="G48" s="8" t="n">
        <v>250</v>
      </c>
      <c r="H48" s="8" t="s">
        <v>168</v>
      </c>
      <c r="I48" s="8" t="n">
        <v>46</v>
      </c>
      <c r="J48" s="8" t="n">
        <v>0</v>
      </c>
      <c r="K48" s="8" t="n">
        <v>0</v>
      </c>
      <c r="L48" s="8" t="n">
        <v>11</v>
      </c>
      <c r="M48" s="8" t="n">
        <v>11</v>
      </c>
      <c r="N48" s="8" t="n">
        <v>0</v>
      </c>
      <c r="O48" s="8" t="n">
        <v>0</v>
      </c>
      <c r="P48" s="8" t="n">
        <v>40</v>
      </c>
      <c r="Q48" s="8" t="n">
        <v>4</v>
      </c>
      <c r="R48" s="8" t="s">
        <v>55</v>
      </c>
      <c r="S48" s="8" t="s">
        <v>55</v>
      </c>
      <c r="T48" s="8"/>
      <c r="U48" s="8" t="n">
        <v>2</v>
      </c>
      <c r="V48" s="10" t="s">
        <v>57</v>
      </c>
      <c r="W48" s="8" t="n">
        <v>1</v>
      </c>
      <c r="X48" s="10" t="s">
        <v>57</v>
      </c>
      <c r="Y48" s="8" t="n">
        <v>3.5</v>
      </c>
      <c r="Z48" s="8" t="s">
        <v>58</v>
      </c>
      <c r="AA48" s="8" t="s">
        <v>253</v>
      </c>
      <c r="AB48" s="8" t="s">
        <v>55</v>
      </c>
      <c r="AC48" s="8"/>
    </row>
    <row r="49" customFormat="false" ht="15" hidden="false" customHeight="false" outlineLevel="0" collapsed="false">
      <c r="A49" s="8" t="s">
        <v>254</v>
      </c>
      <c r="B49" s="8" t="s">
        <v>255</v>
      </c>
      <c r="C49" s="8" t="s">
        <v>256</v>
      </c>
      <c r="D49" s="8" t="s">
        <v>167</v>
      </c>
      <c r="E49" s="8" t="s">
        <v>55</v>
      </c>
      <c r="F49" s="8" t="s">
        <v>257</v>
      </c>
      <c r="G49" s="8" t="n">
        <v>180</v>
      </c>
      <c r="H49" s="8" t="s">
        <v>168</v>
      </c>
      <c r="I49" s="8" t="n">
        <v>50</v>
      </c>
      <c r="J49" s="8" t="n">
        <v>0</v>
      </c>
      <c r="K49" s="8" t="n">
        <v>0</v>
      </c>
      <c r="L49" s="8" t="n">
        <v>12.4</v>
      </c>
      <c r="M49" s="8" t="n">
        <v>12</v>
      </c>
      <c r="N49" s="8" t="n">
        <v>0</v>
      </c>
      <c r="O49" s="8" t="n">
        <v>0.1</v>
      </c>
      <c r="P49" s="8" t="n">
        <v>34</v>
      </c>
      <c r="Q49" s="8" t="n">
        <v>4</v>
      </c>
      <c r="R49" s="8" t="s">
        <v>52</v>
      </c>
      <c r="S49" s="8" t="s">
        <v>55</v>
      </c>
      <c r="T49" s="8"/>
      <c r="U49" s="8" t="n">
        <v>2</v>
      </c>
      <c r="V49" s="10" t="s">
        <v>57</v>
      </c>
      <c r="W49" s="8" t="n">
        <v>2</v>
      </c>
      <c r="X49" s="10" t="s">
        <v>57</v>
      </c>
      <c r="Y49" s="8" t="n">
        <v>3.5</v>
      </c>
      <c r="Z49" s="8" t="s">
        <v>58</v>
      </c>
      <c r="AA49" s="8" t="s">
        <v>224</v>
      </c>
      <c r="AB49" s="8" t="s">
        <v>55</v>
      </c>
      <c r="AC49" s="8"/>
    </row>
    <row r="50" customFormat="false" ht="15" hidden="false" customHeight="false" outlineLevel="0" collapsed="false">
      <c r="A50" s="8" t="s">
        <v>258</v>
      </c>
      <c r="B50" s="8" t="s">
        <v>259</v>
      </c>
      <c r="C50" s="8" t="s">
        <v>260</v>
      </c>
      <c r="D50" s="8" t="s">
        <v>167</v>
      </c>
      <c r="E50" s="8" t="s">
        <v>55</v>
      </c>
      <c r="F50" s="8" t="s">
        <v>261</v>
      </c>
      <c r="G50" s="8" t="n">
        <v>1000</v>
      </c>
      <c r="H50" s="8" t="s">
        <v>168</v>
      </c>
      <c r="I50" s="8" t="n">
        <v>48.7</v>
      </c>
      <c r="J50" s="8" t="n">
        <v>0</v>
      </c>
      <c r="K50" s="8" t="n">
        <v>0</v>
      </c>
      <c r="L50" s="8" t="n">
        <v>12.5</v>
      </c>
      <c r="M50" s="8" t="n">
        <v>11.7</v>
      </c>
      <c r="N50" s="8" t="n">
        <v>0</v>
      </c>
      <c r="O50" s="8" t="n">
        <v>0</v>
      </c>
      <c r="P50" s="8" t="n">
        <v>11.4</v>
      </c>
      <c r="Q50" s="8" t="n">
        <v>4</v>
      </c>
      <c r="R50" s="8" t="s">
        <v>52</v>
      </c>
      <c r="S50" s="8" t="s">
        <v>55</v>
      </c>
      <c r="T50" s="8"/>
      <c r="U50" s="8" t="n">
        <v>2</v>
      </c>
      <c r="V50" s="10" t="s">
        <v>57</v>
      </c>
      <c r="W50" s="8" t="n">
        <v>2</v>
      </c>
      <c r="X50" s="10" t="s">
        <v>57</v>
      </c>
      <c r="Y50" s="8" t="n">
        <v>3.5</v>
      </c>
      <c r="Z50" s="8" t="s">
        <v>58</v>
      </c>
      <c r="AA50" s="8" t="s">
        <v>224</v>
      </c>
      <c r="AB50" s="8" t="s">
        <v>55</v>
      </c>
      <c r="AC50" s="8"/>
    </row>
    <row r="51" customFormat="false" ht="15" hidden="false" customHeight="false" outlineLevel="0" collapsed="false">
      <c r="A51" s="8" t="s">
        <v>262</v>
      </c>
      <c r="B51" s="8" t="s">
        <v>263</v>
      </c>
      <c r="C51" s="8" t="s">
        <v>264</v>
      </c>
      <c r="D51" s="8" t="s">
        <v>167</v>
      </c>
      <c r="E51" s="8" t="s">
        <v>55</v>
      </c>
      <c r="F51" s="8" t="s">
        <v>265</v>
      </c>
      <c r="G51" s="8" t="n">
        <v>200</v>
      </c>
      <c r="H51" s="8" t="s">
        <v>168</v>
      </c>
      <c r="I51" s="8" t="n">
        <v>20</v>
      </c>
      <c r="J51" s="8" t="n">
        <v>0</v>
      </c>
      <c r="K51" s="8" t="n">
        <v>0</v>
      </c>
      <c r="L51" s="8" t="n">
        <v>5</v>
      </c>
      <c r="M51" s="8" t="n">
        <v>4.6</v>
      </c>
      <c r="N51" s="8" t="n">
        <v>0</v>
      </c>
      <c r="O51" s="8" t="n">
        <v>0</v>
      </c>
      <c r="P51" s="8" t="n">
        <v>25</v>
      </c>
      <c r="Q51" s="8" t="n">
        <v>3</v>
      </c>
      <c r="R51" s="8" t="s">
        <v>52</v>
      </c>
      <c r="S51" s="8" t="s">
        <v>55</v>
      </c>
      <c r="T51" s="8"/>
      <c r="U51" s="8" t="n">
        <v>3</v>
      </c>
      <c r="V51" s="9" t="s">
        <v>56</v>
      </c>
      <c r="W51" s="8" t="n">
        <v>3</v>
      </c>
      <c r="X51" s="9" t="s">
        <v>56</v>
      </c>
      <c r="Y51" s="8" t="n">
        <v>1.75</v>
      </c>
      <c r="Z51" s="8" t="s">
        <v>99</v>
      </c>
      <c r="AA51" s="8" t="s">
        <v>224</v>
      </c>
      <c r="AB51" s="8" t="s">
        <v>55</v>
      </c>
      <c r="AC51" s="8"/>
    </row>
    <row r="52" customFormat="false" ht="15" hidden="false" customHeight="false" outlineLevel="0" collapsed="false">
      <c r="A52" s="8" t="s">
        <v>266</v>
      </c>
      <c r="B52" s="8" t="s">
        <v>161</v>
      </c>
      <c r="C52" s="8" t="s">
        <v>267</v>
      </c>
      <c r="D52" s="8" t="s">
        <v>167</v>
      </c>
      <c r="E52" s="8" t="s">
        <v>55</v>
      </c>
      <c r="F52" s="8" t="s">
        <v>268</v>
      </c>
      <c r="G52" s="8" t="n">
        <v>180</v>
      </c>
      <c r="H52" s="8" t="s">
        <v>168</v>
      </c>
      <c r="I52" s="8" t="n">
        <v>90.6</v>
      </c>
      <c r="J52" s="8" t="n">
        <v>3.11</v>
      </c>
      <c r="K52" s="8" t="n">
        <v>1.89</v>
      </c>
      <c r="L52" s="8" t="n">
        <v>12.5</v>
      </c>
      <c r="M52" s="8" t="n">
        <v>12.5</v>
      </c>
      <c r="N52" s="8" t="n">
        <v>0</v>
      </c>
      <c r="O52" s="8" t="n">
        <v>3.11</v>
      </c>
      <c r="P52" s="8" t="n">
        <v>43</v>
      </c>
      <c r="Q52" s="8" t="n">
        <v>4</v>
      </c>
      <c r="R52" s="8" t="s">
        <v>52</v>
      </c>
      <c r="S52" s="8" t="s">
        <v>55</v>
      </c>
      <c r="T52" s="8" t="s">
        <v>76</v>
      </c>
      <c r="U52" s="8" t="n">
        <v>1.5</v>
      </c>
      <c r="V52" s="10" t="s">
        <v>57</v>
      </c>
      <c r="W52" s="8" t="n">
        <v>1.5</v>
      </c>
      <c r="X52" s="10" t="s">
        <v>57</v>
      </c>
      <c r="Y52" s="8" t="n">
        <v>3.5</v>
      </c>
      <c r="Z52" s="8" t="s">
        <v>58</v>
      </c>
      <c r="AA52" s="8" t="s">
        <v>224</v>
      </c>
      <c r="AB52" s="8" t="s">
        <v>55</v>
      </c>
      <c r="AC52" s="8"/>
    </row>
    <row r="53" customFormat="false" ht="15" hidden="false" customHeight="false" outlineLevel="0" collapsed="false">
      <c r="A53" s="8" t="s">
        <v>269</v>
      </c>
      <c r="B53" s="8" t="s">
        <v>161</v>
      </c>
      <c r="C53" s="8" t="s">
        <v>270</v>
      </c>
      <c r="D53" s="8" t="s">
        <v>163</v>
      </c>
      <c r="E53" s="8" t="s">
        <v>55</v>
      </c>
      <c r="F53" s="8" t="s">
        <v>271</v>
      </c>
      <c r="G53" s="8" t="n">
        <v>200</v>
      </c>
      <c r="H53" s="8" t="s">
        <v>168</v>
      </c>
      <c r="I53" s="8" t="n">
        <v>88.5</v>
      </c>
      <c r="J53" s="8" t="n">
        <v>2.1</v>
      </c>
      <c r="K53" s="8" t="n">
        <v>1.25</v>
      </c>
      <c r="L53" s="8" t="n">
        <v>14.5</v>
      </c>
      <c r="M53" s="8" t="n">
        <v>14.5</v>
      </c>
      <c r="N53" s="8" t="n">
        <v>0</v>
      </c>
      <c r="O53" s="8" t="n">
        <v>2.1</v>
      </c>
      <c r="P53" s="8" t="n">
        <v>30</v>
      </c>
      <c r="Q53" s="8" t="n">
        <v>3</v>
      </c>
      <c r="R53" s="8" t="s">
        <v>52</v>
      </c>
      <c r="S53" s="8" t="s">
        <v>55</v>
      </c>
      <c r="T53" s="8" t="s">
        <v>76</v>
      </c>
      <c r="U53" s="8" t="n">
        <v>2.5</v>
      </c>
      <c r="V53" s="9" t="s">
        <v>56</v>
      </c>
      <c r="W53" s="8" t="n">
        <v>2.5</v>
      </c>
      <c r="X53" s="9" t="s">
        <v>56</v>
      </c>
      <c r="Y53" s="8" t="n">
        <v>2.5</v>
      </c>
      <c r="Z53" s="8" t="s">
        <v>99</v>
      </c>
      <c r="AA53" s="8" t="s">
        <v>224</v>
      </c>
      <c r="AB53" s="8" t="s">
        <v>55</v>
      </c>
      <c r="AC53" s="8"/>
    </row>
    <row r="54" customFormat="false" ht="15" hidden="false" customHeight="false" outlineLevel="0" collapsed="false">
      <c r="A54" s="8" t="s">
        <v>272</v>
      </c>
      <c r="B54" s="8" t="s">
        <v>161</v>
      </c>
      <c r="C54" s="8" t="s">
        <v>273</v>
      </c>
      <c r="D54" s="8" t="s">
        <v>163</v>
      </c>
      <c r="E54" s="8" t="s">
        <v>55</v>
      </c>
      <c r="F54" s="8" t="s">
        <v>274</v>
      </c>
      <c r="G54" s="8" t="n">
        <v>200</v>
      </c>
      <c r="H54" s="8" t="s">
        <v>168</v>
      </c>
      <c r="I54" s="8" t="n">
        <v>28.5</v>
      </c>
      <c r="J54" s="8" t="n">
        <v>1.5</v>
      </c>
      <c r="K54" s="8" t="n">
        <v>0.95</v>
      </c>
      <c r="L54" s="8" t="n">
        <v>1.8</v>
      </c>
      <c r="M54" s="8" t="n">
        <v>1.8</v>
      </c>
      <c r="N54" s="8" t="n">
        <v>0</v>
      </c>
      <c r="O54" s="8" t="n">
        <v>1.5</v>
      </c>
      <c r="P54" s="8" t="n">
        <v>250</v>
      </c>
      <c r="Q54" s="8" t="n">
        <v>3</v>
      </c>
      <c r="R54" s="8" t="s">
        <v>52</v>
      </c>
      <c r="S54" s="8" t="s">
        <v>55</v>
      </c>
      <c r="T54" s="8" t="s">
        <v>76</v>
      </c>
      <c r="U54" s="8" t="n">
        <v>5</v>
      </c>
      <c r="V54" s="12" t="s">
        <v>125</v>
      </c>
      <c r="W54" s="8" t="n">
        <v>4</v>
      </c>
      <c r="X54" s="12" t="s">
        <v>125</v>
      </c>
      <c r="Y54" s="8" t="n">
        <v>1</v>
      </c>
      <c r="Z54" s="8" t="s">
        <v>126</v>
      </c>
      <c r="AA54" s="8" t="s">
        <v>224</v>
      </c>
      <c r="AB54" s="8" t="s">
        <v>55</v>
      </c>
      <c r="AC54" s="8"/>
    </row>
    <row r="55" customFormat="false" ht="15" hidden="false" customHeight="false" outlineLevel="0" collapsed="false">
      <c r="A55" s="8" t="s">
        <v>275</v>
      </c>
      <c r="B55" s="8" t="s">
        <v>276</v>
      </c>
      <c r="C55" s="8" t="s">
        <v>277</v>
      </c>
      <c r="D55" s="8" t="s">
        <v>200</v>
      </c>
      <c r="E55" s="8" t="s">
        <v>52</v>
      </c>
      <c r="F55" s="8" t="s">
        <v>278</v>
      </c>
      <c r="G55" s="8" t="n">
        <v>125</v>
      </c>
      <c r="H55" s="8" t="s">
        <v>54</v>
      </c>
      <c r="I55" s="8" t="n">
        <v>360</v>
      </c>
      <c r="J55" s="8" t="n">
        <v>0</v>
      </c>
      <c r="K55" s="8" t="n">
        <v>0</v>
      </c>
      <c r="L55" s="8" t="n">
        <v>90</v>
      </c>
      <c r="M55" s="8" t="n">
        <v>90</v>
      </c>
      <c r="N55" s="8" t="n">
        <v>0</v>
      </c>
      <c r="O55" s="8" t="n">
        <v>0</v>
      </c>
      <c r="P55" s="8" t="n">
        <v>0</v>
      </c>
      <c r="Q55" s="8" t="n">
        <v>3</v>
      </c>
      <c r="R55" s="8" t="s">
        <v>52</v>
      </c>
      <c r="S55" s="8" t="s">
        <v>55</v>
      </c>
      <c r="T55" s="8"/>
      <c r="U55" s="8" t="n">
        <v>2.5</v>
      </c>
      <c r="V55" s="9" t="s">
        <v>56</v>
      </c>
      <c r="W55" s="8" t="n">
        <v>2.5</v>
      </c>
      <c r="X55" s="9" t="s">
        <v>56</v>
      </c>
      <c r="Y55" s="8" t="n">
        <v>2.5</v>
      </c>
      <c r="Z55" s="8" t="s">
        <v>99</v>
      </c>
      <c r="AA55" s="8" t="s">
        <v>224</v>
      </c>
      <c r="AB55" s="8" t="s">
        <v>55</v>
      </c>
      <c r="AC55" s="8"/>
    </row>
    <row r="56" customFormat="false" ht="15" hidden="false" customHeight="false" outlineLevel="0" collapsed="false">
      <c r="A56" s="8" t="s">
        <v>279</v>
      </c>
      <c r="B56" s="8" t="s">
        <v>280</v>
      </c>
      <c r="C56" s="8" t="s">
        <v>281</v>
      </c>
      <c r="D56" s="8" t="s">
        <v>200</v>
      </c>
      <c r="E56" s="8" t="s">
        <v>52</v>
      </c>
      <c r="F56" s="8" t="s">
        <v>282</v>
      </c>
      <c r="G56" s="8" t="n">
        <v>500</v>
      </c>
      <c r="H56" s="8" t="s">
        <v>54</v>
      </c>
      <c r="I56" s="8" t="n">
        <v>388</v>
      </c>
      <c r="J56" s="8" t="n">
        <v>0</v>
      </c>
      <c r="K56" s="8" t="n">
        <v>0</v>
      </c>
      <c r="L56" s="8" t="n">
        <v>94.1</v>
      </c>
      <c r="M56" s="8" t="n">
        <v>92.9</v>
      </c>
      <c r="N56" s="8" t="n">
        <v>0</v>
      </c>
      <c r="O56" s="8" t="n">
        <v>0</v>
      </c>
      <c r="P56" s="8" t="n">
        <v>35</v>
      </c>
      <c r="Q56" s="8" t="n">
        <v>4</v>
      </c>
      <c r="R56" s="8" t="s">
        <v>52</v>
      </c>
      <c r="S56" s="8" t="s">
        <v>55</v>
      </c>
      <c r="T56" s="8"/>
      <c r="U56" s="8" t="n">
        <v>2</v>
      </c>
      <c r="V56" s="10" t="s">
        <v>57</v>
      </c>
      <c r="W56" s="8" t="n">
        <v>2</v>
      </c>
      <c r="X56" s="10" t="s">
        <v>57</v>
      </c>
      <c r="Y56" s="8" t="n">
        <v>3.5</v>
      </c>
      <c r="Z56" s="8" t="s">
        <v>58</v>
      </c>
      <c r="AA56" s="8" t="s">
        <v>224</v>
      </c>
      <c r="AB56" s="8" t="s">
        <v>55</v>
      </c>
      <c r="AC56" s="8"/>
    </row>
    <row r="57" customFormat="false" ht="15" hidden="false" customHeight="false" outlineLevel="0" collapsed="false">
      <c r="A57" s="8" t="s">
        <v>283</v>
      </c>
      <c r="B57" s="8" t="s">
        <v>102</v>
      </c>
      <c r="C57" s="8" t="s">
        <v>284</v>
      </c>
      <c r="D57" s="8" t="s">
        <v>104</v>
      </c>
      <c r="E57" s="8" t="s">
        <v>52</v>
      </c>
      <c r="F57" s="8" t="s">
        <v>285</v>
      </c>
      <c r="G57" s="8" t="n">
        <v>400</v>
      </c>
      <c r="H57" s="8" t="s">
        <v>54</v>
      </c>
      <c r="I57" s="8" t="n">
        <v>601</v>
      </c>
      <c r="J57" s="8" t="n">
        <v>43.5</v>
      </c>
      <c r="K57" s="8" t="n">
        <v>11.5</v>
      </c>
      <c r="L57" s="8" t="n">
        <v>37.1</v>
      </c>
      <c r="M57" s="8" t="n">
        <v>0</v>
      </c>
      <c r="N57" s="8" t="n">
        <v>4.85</v>
      </c>
      <c r="O57" s="8" t="n">
        <v>12.9</v>
      </c>
      <c r="P57" s="8" t="n">
        <v>771</v>
      </c>
      <c r="Q57" s="8" t="n">
        <v>4</v>
      </c>
      <c r="R57" s="8" t="s">
        <v>52</v>
      </c>
      <c r="S57" s="8" t="s">
        <v>55</v>
      </c>
      <c r="T57" s="8"/>
      <c r="U57" s="8" t="n">
        <v>2</v>
      </c>
      <c r="V57" s="10" t="s">
        <v>57</v>
      </c>
      <c r="W57" s="8" t="n">
        <v>2</v>
      </c>
      <c r="X57" s="10" t="s">
        <v>57</v>
      </c>
      <c r="Y57" s="8" t="n">
        <v>4.5</v>
      </c>
      <c r="Z57" s="8" t="s">
        <v>58</v>
      </c>
      <c r="AA57" s="8" t="s">
        <v>224</v>
      </c>
      <c r="AB57" s="8" t="s">
        <v>55</v>
      </c>
      <c r="AC57" s="8"/>
    </row>
    <row r="58" customFormat="false" ht="15" hidden="false" customHeight="false" outlineLevel="0" collapsed="false">
      <c r="A58" s="8" t="s">
        <v>286</v>
      </c>
      <c r="B58" s="8" t="s">
        <v>102</v>
      </c>
      <c r="C58" s="8" t="s">
        <v>287</v>
      </c>
      <c r="D58" s="8" t="s">
        <v>104</v>
      </c>
      <c r="E58" s="8" t="s">
        <v>52</v>
      </c>
      <c r="F58" s="8" t="s">
        <v>288</v>
      </c>
      <c r="G58" s="8" t="n">
        <v>200</v>
      </c>
      <c r="H58" s="8" t="s">
        <v>54</v>
      </c>
      <c r="I58" s="8" t="n">
        <v>500</v>
      </c>
      <c r="J58" s="8" t="n">
        <v>35.7</v>
      </c>
      <c r="K58" s="8" t="n">
        <v>11.7</v>
      </c>
      <c r="L58" s="8" t="n">
        <v>38.6</v>
      </c>
      <c r="M58" s="8" t="n">
        <v>3.2</v>
      </c>
      <c r="N58" s="8" t="n">
        <v>0</v>
      </c>
      <c r="O58" s="8" t="n">
        <v>10.7</v>
      </c>
      <c r="P58" s="8" t="n">
        <v>620</v>
      </c>
      <c r="Q58" s="8" t="n">
        <v>4</v>
      </c>
      <c r="R58" s="8" t="s">
        <v>52</v>
      </c>
      <c r="S58" s="8" t="s">
        <v>55</v>
      </c>
      <c r="T58" s="8" t="s">
        <v>289</v>
      </c>
      <c r="U58" s="8" t="n">
        <v>1.5</v>
      </c>
      <c r="V58" s="10" t="s">
        <v>57</v>
      </c>
      <c r="W58" s="8" t="n">
        <v>1.5</v>
      </c>
      <c r="X58" s="10" t="s">
        <v>57</v>
      </c>
      <c r="Y58" s="8" t="n">
        <v>4.5</v>
      </c>
      <c r="Z58" s="8" t="s">
        <v>58</v>
      </c>
      <c r="AA58" s="8" t="s">
        <v>224</v>
      </c>
      <c r="AB58" s="8" t="s">
        <v>55</v>
      </c>
      <c r="AC58" s="8"/>
    </row>
    <row r="59" customFormat="false" ht="15" hidden="false" customHeight="false" outlineLevel="0" collapsed="false">
      <c r="A59" s="8" t="s">
        <v>290</v>
      </c>
      <c r="B59" s="8" t="s">
        <v>291</v>
      </c>
      <c r="C59" s="8" t="s">
        <v>292</v>
      </c>
      <c r="D59" s="8" t="s">
        <v>51</v>
      </c>
      <c r="E59" s="8" t="s">
        <v>52</v>
      </c>
      <c r="F59" s="8" t="s">
        <v>293</v>
      </c>
      <c r="G59" s="8" t="n">
        <v>50</v>
      </c>
      <c r="H59" s="8" t="s">
        <v>54</v>
      </c>
      <c r="I59" s="8" t="n">
        <v>548</v>
      </c>
      <c r="J59" s="8" t="n">
        <v>35</v>
      </c>
      <c r="K59" s="8" t="n">
        <v>15.8</v>
      </c>
      <c r="L59" s="8" t="n">
        <v>52</v>
      </c>
      <c r="M59" s="8" t="n">
        <v>0.6</v>
      </c>
      <c r="N59" s="8" t="n">
        <v>0</v>
      </c>
      <c r="O59" s="8" t="n">
        <v>6.7</v>
      </c>
      <c r="P59" s="8" t="n">
        <v>600</v>
      </c>
      <c r="Q59" s="8" t="n">
        <v>4</v>
      </c>
      <c r="R59" s="8" t="s">
        <v>52</v>
      </c>
      <c r="S59" s="8" t="s">
        <v>55</v>
      </c>
      <c r="T59" s="8"/>
      <c r="U59" s="8" t="n">
        <v>2</v>
      </c>
      <c r="V59" s="10" t="s">
        <v>57</v>
      </c>
      <c r="W59" s="8" t="n">
        <v>1.5</v>
      </c>
      <c r="X59" s="10" t="s">
        <v>57</v>
      </c>
      <c r="Y59" s="8" t="n">
        <v>4.5</v>
      </c>
      <c r="Z59" s="8" t="s">
        <v>58</v>
      </c>
      <c r="AA59" s="8" t="s">
        <v>224</v>
      </c>
      <c r="AB59" s="8" t="s">
        <v>55</v>
      </c>
      <c r="AC59" s="8"/>
    </row>
    <row r="60" customFormat="false" ht="15" hidden="false" customHeight="false" outlineLevel="0" collapsed="false">
      <c r="A60" s="8" t="s">
        <v>294</v>
      </c>
      <c r="B60" s="8" t="s">
        <v>118</v>
      </c>
      <c r="C60" s="8" t="s">
        <v>295</v>
      </c>
      <c r="D60" s="8" t="s">
        <v>98</v>
      </c>
      <c r="E60" s="8" t="s">
        <v>52</v>
      </c>
      <c r="F60" s="8" t="s">
        <v>296</v>
      </c>
      <c r="G60" s="8" t="n">
        <v>90</v>
      </c>
      <c r="H60" s="8" t="s">
        <v>54</v>
      </c>
      <c r="I60" s="8" t="n">
        <v>546</v>
      </c>
      <c r="J60" s="8" t="n">
        <v>32.8</v>
      </c>
      <c r="K60" s="8" t="n">
        <v>15.5</v>
      </c>
      <c r="L60" s="8" t="n">
        <v>57.3</v>
      </c>
      <c r="M60" s="8" t="n">
        <v>1.7</v>
      </c>
      <c r="N60" s="8" t="n">
        <v>0</v>
      </c>
      <c r="O60" s="8" t="n">
        <v>5.5</v>
      </c>
      <c r="P60" s="8" t="n">
        <v>738</v>
      </c>
      <c r="Q60" s="8" t="n">
        <v>4</v>
      </c>
      <c r="R60" s="8" t="s">
        <v>52</v>
      </c>
      <c r="S60" s="8" t="s">
        <v>55</v>
      </c>
      <c r="T60" s="8"/>
      <c r="U60" s="8" t="n">
        <v>1.5</v>
      </c>
      <c r="V60" s="10" t="s">
        <v>57</v>
      </c>
      <c r="W60" s="8" t="n">
        <v>1.5</v>
      </c>
      <c r="X60" s="10" t="s">
        <v>57</v>
      </c>
      <c r="Y60" s="8" t="n">
        <v>5</v>
      </c>
      <c r="Z60" s="8" t="s">
        <v>58</v>
      </c>
      <c r="AA60" s="8" t="s">
        <v>224</v>
      </c>
      <c r="AB60" s="8" t="s">
        <v>55</v>
      </c>
      <c r="AC60" s="8"/>
    </row>
    <row r="61" customFormat="false" ht="15" hidden="false" customHeight="false" outlineLevel="0" collapsed="false">
      <c r="A61" s="8" t="s">
        <v>297</v>
      </c>
      <c r="B61" s="8" t="s">
        <v>298</v>
      </c>
      <c r="C61" s="8" t="s">
        <v>299</v>
      </c>
      <c r="D61" s="8" t="s">
        <v>98</v>
      </c>
      <c r="E61" s="8" t="s">
        <v>52</v>
      </c>
      <c r="F61" s="8" t="s">
        <v>300</v>
      </c>
      <c r="G61" s="8" t="n">
        <v>65</v>
      </c>
      <c r="H61" s="8" t="s">
        <v>54</v>
      </c>
      <c r="I61" s="8" t="n">
        <v>471</v>
      </c>
      <c r="J61" s="8" t="n">
        <v>19.5</v>
      </c>
      <c r="K61" s="8" t="n">
        <v>4.5</v>
      </c>
      <c r="L61" s="8" t="n">
        <v>68</v>
      </c>
      <c r="M61" s="8" t="n">
        <v>4.7</v>
      </c>
      <c r="N61" s="8" t="n">
        <v>3.4</v>
      </c>
      <c r="O61" s="8" t="n">
        <v>5.9</v>
      </c>
      <c r="P61" s="8" t="n">
        <v>970</v>
      </c>
      <c r="Q61" s="8" t="n">
        <v>4</v>
      </c>
      <c r="R61" s="8" t="s">
        <v>52</v>
      </c>
      <c r="S61" s="8" t="s">
        <v>55</v>
      </c>
      <c r="T61" s="8"/>
      <c r="U61" s="8" t="n">
        <v>2</v>
      </c>
      <c r="V61" s="10" t="s">
        <v>57</v>
      </c>
      <c r="W61" s="8" t="n">
        <v>2</v>
      </c>
      <c r="X61" s="10" t="s">
        <v>57</v>
      </c>
      <c r="Y61" s="8" t="n">
        <v>3.5</v>
      </c>
      <c r="Z61" s="8" t="s">
        <v>58</v>
      </c>
      <c r="AA61" s="8" t="s">
        <v>224</v>
      </c>
      <c r="AB61" s="8" t="s">
        <v>55</v>
      </c>
      <c r="AC61" s="8"/>
    </row>
    <row r="62" customFormat="false" ht="15" hidden="false" customHeight="false" outlineLevel="0" collapsed="false">
      <c r="A62" s="8" t="s">
        <v>301</v>
      </c>
      <c r="B62" s="8" t="s">
        <v>302</v>
      </c>
      <c r="C62" s="8" t="s">
        <v>303</v>
      </c>
      <c r="D62" s="8" t="s">
        <v>51</v>
      </c>
      <c r="E62" s="8" t="s">
        <v>52</v>
      </c>
      <c r="F62" s="8" t="s">
        <v>304</v>
      </c>
      <c r="G62" s="8" t="n">
        <v>107</v>
      </c>
      <c r="H62" s="8" t="s">
        <v>54</v>
      </c>
      <c r="I62" s="8" t="n">
        <v>523</v>
      </c>
      <c r="J62" s="8" t="n">
        <v>27.9</v>
      </c>
      <c r="K62" s="8" t="n">
        <v>14</v>
      </c>
      <c r="L62" s="8" t="n">
        <v>62.8</v>
      </c>
      <c r="M62" s="8" t="n">
        <v>0.4</v>
      </c>
      <c r="N62" s="8" t="n">
        <v>0</v>
      </c>
      <c r="O62" s="8" t="n">
        <v>5</v>
      </c>
      <c r="P62" s="8" t="n">
        <v>468</v>
      </c>
      <c r="Q62" s="8" t="n">
        <v>4</v>
      </c>
      <c r="R62" s="8" t="s">
        <v>52</v>
      </c>
      <c r="S62" s="8" t="s">
        <v>55</v>
      </c>
      <c r="T62" s="8" t="s">
        <v>68</v>
      </c>
      <c r="U62" s="8" t="n">
        <v>2</v>
      </c>
      <c r="V62" s="10" t="s">
        <v>57</v>
      </c>
      <c r="W62" s="8" t="n">
        <v>1.5</v>
      </c>
      <c r="X62" s="10" t="s">
        <v>57</v>
      </c>
      <c r="Y62" s="8" t="n">
        <v>4.5</v>
      </c>
      <c r="Z62" s="8" t="s">
        <v>58</v>
      </c>
      <c r="AA62" s="8" t="s">
        <v>224</v>
      </c>
      <c r="AB62" s="8" t="s">
        <v>55</v>
      </c>
      <c r="AC62" s="8"/>
    </row>
    <row r="63" customFormat="false" ht="15" hidden="false" customHeight="false" outlineLevel="0" collapsed="false">
      <c r="A63" s="8" t="s">
        <v>305</v>
      </c>
      <c r="B63" s="8" t="s">
        <v>129</v>
      </c>
      <c r="C63" s="8" t="s">
        <v>306</v>
      </c>
      <c r="D63" s="8" t="s">
        <v>131</v>
      </c>
      <c r="E63" s="8" t="s">
        <v>52</v>
      </c>
      <c r="F63" s="8" t="s">
        <v>307</v>
      </c>
      <c r="G63" s="8" t="n">
        <v>100</v>
      </c>
      <c r="H63" s="8" t="s">
        <v>54</v>
      </c>
      <c r="I63" s="8" t="n">
        <v>480</v>
      </c>
      <c r="J63" s="8" t="n">
        <v>18.3</v>
      </c>
      <c r="K63" s="8" t="n">
        <v>11.4</v>
      </c>
      <c r="L63" s="8" t="n">
        <v>73.1</v>
      </c>
      <c r="M63" s="8" t="n">
        <v>32.6</v>
      </c>
      <c r="N63" s="8" t="n">
        <v>0</v>
      </c>
      <c r="O63" s="8" t="n">
        <v>5.8</v>
      </c>
      <c r="P63" s="8" t="n">
        <v>114</v>
      </c>
      <c r="Q63" s="8" t="n">
        <v>4</v>
      </c>
      <c r="R63" s="8" t="s">
        <v>52</v>
      </c>
      <c r="S63" s="8" t="s">
        <v>55</v>
      </c>
      <c r="T63" s="8" t="s">
        <v>132</v>
      </c>
      <c r="U63" s="8" t="n">
        <v>1.5</v>
      </c>
      <c r="V63" s="10" t="s">
        <v>57</v>
      </c>
      <c r="W63" s="8" t="n">
        <v>1.5</v>
      </c>
      <c r="X63" s="10" t="s">
        <v>57</v>
      </c>
      <c r="Y63" s="8" t="n">
        <v>5</v>
      </c>
      <c r="Z63" s="8" t="s">
        <v>58</v>
      </c>
      <c r="AA63" s="8" t="s">
        <v>224</v>
      </c>
      <c r="AB63" s="8" t="s">
        <v>55</v>
      </c>
      <c r="AC63" s="8"/>
    </row>
    <row r="64" customFormat="false" ht="15" hidden="false" customHeight="false" outlineLevel="0" collapsed="false">
      <c r="A64" s="8" t="s">
        <v>308</v>
      </c>
      <c r="B64" s="8" t="s">
        <v>135</v>
      </c>
      <c r="C64" s="8" t="s">
        <v>309</v>
      </c>
      <c r="D64" s="8" t="s">
        <v>131</v>
      </c>
      <c r="E64" s="8" t="s">
        <v>52</v>
      </c>
      <c r="F64" s="8" t="s">
        <v>310</v>
      </c>
      <c r="G64" s="8" t="n">
        <v>100</v>
      </c>
      <c r="H64" s="8" t="s">
        <v>54</v>
      </c>
      <c r="I64" s="8" t="n">
        <v>493.5</v>
      </c>
      <c r="J64" s="8" t="n">
        <v>20.3</v>
      </c>
      <c r="K64" s="8" t="n">
        <v>10.1</v>
      </c>
      <c r="L64" s="8" t="n">
        <v>72.7</v>
      </c>
      <c r="M64" s="8" t="n">
        <v>38.3</v>
      </c>
      <c r="N64" s="8" t="n">
        <v>0</v>
      </c>
      <c r="O64" s="8" t="n">
        <v>5</v>
      </c>
      <c r="P64" s="8" t="n">
        <v>47.6</v>
      </c>
      <c r="Q64" s="8" t="n">
        <v>4</v>
      </c>
      <c r="R64" s="8" t="s">
        <v>52</v>
      </c>
      <c r="S64" s="8" t="s">
        <v>55</v>
      </c>
      <c r="T64" s="8" t="s">
        <v>132</v>
      </c>
      <c r="U64" s="8" t="n">
        <v>1.5</v>
      </c>
      <c r="V64" s="10" t="s">
        <v>57</v>
      </c>
      <c r="W64" s="8" t="n">
        <v>1.5</v>
      </c>
      <c r="X64" s="10" t="s">
        <v>57</v>
      </c>
      <c r="Y64" s="8" t="n">
        <v>5</v>
      </c>
      <c r="Z64" s="8" t="s">
        <v>58</v>
      </c>
      <c r="AA64" s="8" t="s">
        <v>224</v>
      </c>
      <c r="AB64" s="8" t="s">
        <v>55</v>
      </c>
      <c r="AC64" s="8"/>
    </row>
    <row r="65" customFormat="false" ht="15" hidden="false" customHeight="false" outlineLevel="0" collapsed="false">
      <c r="A65" s="8" t="s">
        <v>311</v>
      </c>
      <c r="B65" s="8" t="s">
        <v>312</v>
      </c>
      <c r="C65" s="8" t="s">
        <v>313</v>
      </c>
      <c r="D65" s="8" t="s">
        <v>131</v>
      </c>
      <c r="E65" s="8" t="s">
        <v>52</v>
      </c>
      <c r="F65" s="8" t="s">
        <v>314</v>
      </c>
      <c r="G65" s="8" t="n">
        <v>120</v>
      </c>
      <c r="H65" s="8" t="s">
        <v>54</v>
      </c>
      <c r="I65" s="8" t="n">
        <v>483</v>
      </c>
      <c r="J65" s="8" t="n">
        <v>19.6</v>
      </c>
      <c r="K65" s="8" t="n">
        <v>9.7</v>
      </c>
      <c r="L65" s="8" t="n">
        <v>71.9</v>
      </c>
      <c r="M65" s="8" t="n">
        <v>38.8</v>
      </c>
      <c r="N65" s="8" t="n">
        <v>0</v>
      </c>
      <c r="O65" s="8" t="n">
        <v>5.2</v>
      </c>
      <c r="P65" s="8" t="n">
        <v>420</v>
      </c>
      <c r="Q65" s="8" t="n">
        <v>4</v>
      </c>
      <c r="R65" s="8" t="s">
        <v>52</v>
      </c>
      <c r="S65" s="8" t="s">
        <v>55</v>
      </c>
      <c r="T65" s="8" t="s">
        <v>315</v>
      </c>
      <c r="U65" s="8" t="n">
        <v>1</v>
      </c>
      <c r="V65" s="10" t="s">
        <v>57</v>
      </c>
      <c r="W65" s="8" t="n">
        <v>1</v>
      </c>
      <c r="X65" s="10" t="s">
        <v>57</v>
      </c>
      <c r="Y65" s="8" t="n">
        <v>5.5</v>
      </c>
      <c r="Z65" s="8" t="s">
        <v>58</v>
      </c>
      <c r="AA65" s="8" t="s">
        <v>224</v>
      </c>
      <c r="AB65" s="8" t="s">
        <v>55</v>
      </c>
      <c r="AC65" s="8"/>
    </row>
    <row r="66" customFormat="false" ht="15" hidden="false" customHeight="false" outlineLevel="0" collapsed="false">
      <c r="A66" s="8" t="s">
        <v>316</v>
      </c>
      <c r="B66" s="8" t="s">
        <v>135</v>
      </c>
      <c r="C66" s="8" t="s">
        <v>317</v>
      </c>
      <c r="D66" s="8" t="s">
        <v>131</v>
      </c>
      <c r="E66" s="8" t="s">
        <v>52</v>
      </c>
      <c r="F66" s="8" t="s">
        <v>318</v>
      </c>
      <c r="G66" s="8" t="n">
        <v>100</v>
      </c>
      <c r="H66" s="8" t="s">
        <v>54</v>
      </c>
      <c r="I66" s="8" t="n">
        <v>483</v>
      </c>
      <c r="J66" s="8" t="n">
        <v>19</v>
      </c>
      <c r="K66" s="8" t="n">
        <v>9.5</v>
      </c>
      <c r="L66" s="8" t="n">
        <v>73</v>
      </c>
      <c r="M66" s="8" t="n">
        <v>33.5</v>
      </c>
      <c r="N66" s="8" t="n">
        <v>0</v>
      </c>
      <c r="O66" s="8" t="n">
        <v>5</v>
      </c>
      <c r="P66" s="8" t="n">
        <v>214</v>
      </c>
      <c r="Q66" s="8" t="n">
        <v>4</v>
      </c>
      <c r="R66" s="8" t="s">
        <v>52</v>
      </c>
      <c r="S66" s="8" t="s">
        <v>55</v>
      </c>
      <c r="T66" s="8" t="s">
        <v>132</v>
      </c>
      <c r="U66" s="8" t="n">
        <v>1.5</v>
      </c>
      <c r="V66" s="10" t="s">
        <v>57</v>
      </c>
      <c r="W66" s="8" t="n">
        <v>1</v>
      </c>
      <c r="X66" s="10" t="s">
        <v>57</v>
      </c>
      <c r="Y66" s="8" t="n">
        <v>5</v>
      </c>
      <c r="Z66" s="8" t="s">
        <v>58</v>
      </c>
      <c r="AA66" s="8" t="s">
        <v>224</v>
      </c>
      <c r="AB66" s="8" t="s">
        <v>55</v>
      </c>
      <c r="AC66" s="8"/>
    </row>
    <row r="67" customFormat="false" ht="15" hidden="false" customHeight="false" outlineLevel="0" collapsed="false">
      <c r="A67" s="8" t="s">
        <v>319</v>
      </c>
      <c r="B67" s="8" t="s">
        <v>320</v>
      </c>
      <c r="C67" s="8" t="s">
        <v>321</v>
      </c>
      <c r="D67" s="8" t="s">
        <v>131</v>
      </c>
      <c r="E67" s="8" t="s">
        <v>52</v>
      </c>
      <c r="F67" s="8" t="s">
        <v>322</v>
      </c>
      <c r="G67" s="8" t="n">
        <v>75</v>
      </c>
      <c r="H67" s="8" t="s">
        <v>54</v>
      </c>
      <c r="I67" s="8" t="n">
        <v>504</v>
      </c>
      <c r="J67" s="8" t="n">
        <v>25</v>
      </c>
      <c r="K67" s="8" t="n">
        <v>11.4</v>
      </c>
      <c r="L67" s="8" t="n">
        <v>63.9</v>
      </c>
      <c r="M67" s="8" t="n">
        <v>37.6</v>
      </c>
      <c r="N67" s="8" t="n">
        <v>0</v>
      </c>
      <c r="O67" s="8" t="n">
        <v>5.7</v>
      </c>
      <c r="P67" s="8" t="n">
        <v>40</v>
      </c>
      <c r="Q67" s="8" t="n">
        <v>4</v>
      </c>
      <c r="R67" s="8" t="s">
        <v>52</v>
      </c>
      <c r="S67" s="8" t="s">
        <v>55</v>
      </c>
      <c r="T67" s="8" t="s">
        <v>323</v>
      </c>
      <c r="U67" s="8" t="n">
        <v>1.5</v>
      </c>
      <c r="V67" s="10" t="s">
        <v>57</v>
      </c>
      <c r="W67" s="8" t="n">
        <v>1.5</v>
      </c>
      <c r="X67" s="10" t="s">
        <v>57</v>
      </c>
      <c r="Y67" s="8" t="n">
        <v>5</v>
      </c>
      <c r="Z67" s="8" t="s">
        <v>58</v>
      </c>
      <c r="AA67" s="8" t="s">
        <v>224</v>
      </c>
      <c r="AB67" s="8" t="s">
        <v>55</v>
      </c>
      <c r="AC67" s="8"/>
    </row>
    <row r="68" customFormat="false" ht="15" hidden="false" customHeight="false" outlineLevel="0" collapsed="false">
      <c r="A68" s="8" t="s">
        <v>324</v>
      </c>
      <c r="B68" s="8" t="s">
        <v>320</v>
      </c>
      <c r="C68" s="8" t="s">
        <v>325</v>
      </c>
      <c r="D68" s="8" t="s">
        <v>131</v>
      </c>
      <c r="E68" s="8" t="s">
        <v>52</v>
      </c>
      <c r="F68" s="8" t="s">
        <v>326</v>
      </c>
      <c r="G68" s="8" t="n">
        <v>75</v>
      </c>
      <c r="H68" s="8" t="s">
        <v>54</v>
      </c>
      <c r="I68" s="8" t="n">
        <v>504</v>
      </c>
      <c r="J68" s="8" t="n">
        <v>23.3</v>
      </c>
      <c r="K68" s="8" t="n">
        <v>11.3</v>
      </c>
      <c r="L68" s="8" t="n">
        <v>67</v>
      </c>
      <c r="M68" s="8" t="n">
        <v>22.2</v>
      </c>
      <c r="N68" s="8" t="n">
        <v>0</v>
      </c>
      <c r="O68" s="8" t="n">
        <v>6.5</v>
      </c>
      <c r="P68" s="8" t="n">
        <v>172</v>
      </c>
      <c r="Q68" s="8" t="n">
        <v>4</v>
      </c>
      <c r="R68" s="8" t="s">
        <v>52</v>
      </c>
      <c r="S68" s="8" t="s">
        <v>55</v>
      </c>
      <c r="T68" s="8" t="s">
        <v>137</v>
      </c>
      <c r="U68" s="8" t="n">
        <v>2</v>
      </c>
      <c r="V68" s="10" t="s">
        <v>57</v>
      </c>
      <c r="W68" s="8" t="n">
        <v>1</v>
      </c>
      <c r="X68" s="10" t="s">
        <v>57</v>
      </c>
      <c r="Y68" s="8" t="n">
        <v>4.25</v>
      </c>
      <c r="Z68" s="8" t="s">
        <v>58</v>
      </c>
      <c r="AA68" s="8" t="s">
        <v>224</v>
      </c>
      <c r="AB68" s="8" t="s">
        <v>55</v>
      </c>
      <c r="AC68" s="8"/>
    </row>
    <row r="69" customFormat="false" ht="15" hidden="false" customHeight="false" outlineLevel="0" collapsed="false">
      <c r="A69" s="8" t="s">
        <v>327</v>
      </c>
      <c r="B69" s="8" t="s">
        <v>135</v>
      </c>
      <c r="C69" s="8" t="s">
        <v>328</v>
      </c>
      <c r="D69" s="8" t="s">
        <v>131</v>
      </c>
      <c r="E69" s="8" t="s">
        <v>52</v>
      </c>
      <c r="F69" s="8" t="s">
        <v>329</v>
      </c>
      <c r="G69" s="8" t="n">
        <v>100</v>
      </c>
      <c r="H69" s="8" t="s">
        <v>54</v>
      </c>
      <c r="I69" s="8" t="n">
        <v>459</v>
      </c>
      <c r="J69" s="8" t="n">
        <v>13.5</v>
      </c>
      <c r="K69" s="8" t="n">
        <v>6.5</v>
      </c>
      <c r="L69" s="8" t="n">
        <v>77</v>
      </c>
      <c r="M69" s="8" t="n">
        <v>26.4</v>
      </c>
      <c r="N69" s="8" t="n">
        <v>0</v>
      </c>
      <c r="O69" s="8" t="n">
        <v>7.4</v>
      </c>
      <c r="P69" s="8" t="n">
        <v>304</v>
      </c>
      <c r="Q69" s="8" t="n">
        <v>4</v>
      </c>
      <c r="R69" s="8" t="s">
        <v>52</v>
      </c>
      <c r="S69" s="8" t="s">
        <v>55</v>
      </c>
      <c r="T69" s="8" t="s">
        <v>132</v>
      </c>
      <c r="U69" s="8" t="n">
        <v>1</v>
      </c>
      <c r="V69" s="10" t="s">
        <v>57</v>
      </c>
      <c r="W69" s="8" t="n">
        <v>1</v>
      </c>
      <c r="X69" s="10" t="s">
        <v>57</v>
      </c>
      <c r="Y69" s="8" t="n">
        <v>5.5</v>
      </c>
      <c r="Z69" s="8" t="s">
        <v>58</v>
      </c>
      <c r="AA69" s="8" t="s">
        <v>224</v>
      </c>
      <c r="AB69" s="8" t="s">
        <v>55</v>
      </c>
      <c r="AC69" s="8"/>
    </row>
    <row r="70" customFormat="false" ht="15" hidden="false" customHeight="false" outlineLevel="0" collapsed="false">
      <c r="A70" s="8" t="s">
        <v>330</v>
      </c>
      <c r="B70" s="8" t="s">
        <v>135</v>
      </c>
      <c r="C70" s="8" t="s">
        <v>331</v>
      </c>
      <c r="D70" s="8" t="s">
        <v>131</v>
      </c>
      <c r="E70" s="8" t="s">
        <v>52</v>
      </c>
      <c r="F70" s="8" t="s">
        <v>332</v>
      </c>
      <c r="G70" s="8" t="n">
        <v>250</v>
      </c>
      <c r="H70" s="8" t="s">
        <v>54</v>
      </c>
      <c r="I70" s="8" t="n">
        <v>481</v>
      </c>
      <c r="J70" s="8" t="n">
        <v>20.9</v>
      </c>
      <c r="K70" s="8" t="n">
        <v>10.4</v>
      </c>
      <c r="L70" s="8" t="n">
        <v>68</v>
      </c>
      <c r="M70" s="8" t="n">
        <v>13.1</v>
      </c>
      <c r="N70" s="8" t="n">
        <v>7.3</v>
      </c>
      <c r="O70" s="8" t="n">
        <v>9.1</v>
      </c>
      <c r="P70" s="8" t="n">
        <v>368</v>
      </c>
      <c r="Q70" s="8" t="n">
        <v>4</v>
      </c>
      <c r="R70" s="8" t="s">
        <v>52</v>
      </c>
      <c r="S70" s="8" t="s">
        <v>55</v>
      </c>
      <c r="T70" s="8" t="s">
        <v>68</v>
      </c>
      <c r="U70" s="8" t="n">
        <v>2</v>
      </c>
      <c r="V70" s="10" t="s">
        <v>57</v>
      </c>
      <c r="W70" s="8" t="n">
        <v>1</v>
      </c>
      <c r="X70" s="10" t="s">
        <v>57</v>
      </c>
      <c r="Y70" s="8" t="n">
        <v>4</v>
      </c>
      <c r="Z70" s="8" t="s">
        <v>58</v>
      </c>
      <c r="AA70" s="8" t="s">
        <v>224</v>
      </c>
      <c r="AB70" s="8" t="s">
        <v>55</v>
      </c>
      <c r="AC70" s="8"/>
    </row>
    <row r="71" customFormat="false" ht="15" hidden="false" customHeight="false" outlineLevel="0" collapsed="false">
      <c r="A71" s="8" t="s">
        <v>333</v>
      </c>
      <c r="B71" s="8" t="s">
        <v>334</v>
      </c>
      <c r="C71" s="8" t="s">
        <v>335</v>
      </c>
      <c r="D71" s="8" t="s">
        <v>131</v>
      </c>
      <c r="E71" s="8" t="s">
        <v>52</v>
      </c>
      <c r="F71" s="8" t="s">
        <v>336</v>
      </c>
      <c r="G71" s="8" t="n">
        <v>75</v>
      </c>
      <c r="H71" s="8" t="s">
        <v>54</v>
      </c>
      <c r="I71" s="8" t="n">
        <v>496</v>
      </c>
      <c r="J71" s="8" t="n">
        <v>23.8</v>
      </c>
      <c r="K71" s="8" t="n">
        <v>11.9</v>
      </c>
      <c r="L71" s="8" t="n">
        <v>63</v>
      </c>
      <c r="M71" s="8" t="n">
        <v>25</v>
      </c>
      <c r="N71" s="8" t="n">
        <v>0</v>
      </c>
      <c r="O71" s="8" t="n">
        <v>7.5</v>
      </c>
      <c r="P71" s="8" t="n">
        <v>123</v>
      </c>
      <c r="Q71" s="8" t="n">
        <v>4</v>
      </c>
      <c r="R71" s="8" t="s">
        <v>52</v>
      </c>
      <c r="S71" s="8" t="s">
        <v>55</v>
      </c>
      <c r="T71" s="8" t="s">
        <v>137</v>
      </c>
      <c r="U71" s="8" t="n">
        <v>1.5</v>
      </c>
      <c r="V71" s="10" t="s">
        <v>57</v>
      </c>
      <c r="W71" s="8" t="n">
        <v>1.5</v>
      </c>
      <c r="X71" s="10" t="s">
        <v>57</v>
      </c>
      <c r="Y71" s="8" t="n">
        <v>5</v>
      </c>
      <c r="Z71" s="8" t="s">
        <v>58</v>
      </c>
      <c r="AA71" s="8" t="s">
        <v>224</v>
      </c>
      <c r="AB71" s="8" t="s">
        <v>55</v>
      </c>
      <c r="AC71" s="8"/>
    </row>
    <row r="72" customFormat="false" ht="15" hidden="false" customHeight="false" outlineLevel="0" collapsed="false">
      <c r="A72" s="8" t="s">
        <v>337</v>
      </c>
      <c r="B72" s="8" t="s">
        <v>338</v>
      </c>
      <c r="C72" s="8" t="s">
        <v>339</v>
      </c>
      <c r="D72" s="8" t="s">
        <v>208</v>
      </c>
      <c r="E72" s="8" t="s">
        <v>52</v>
      </c>
      <c r="F72" s="8" t="s">
        <v>340</v>
      </c>
      <c r="G72" s="8" t="n">
        <v>20</v>
      </c>
      <c r="H72" s="8" t="s">
        <v>54</v>
      </c>
      <c r="I72" s="8" t="n">
        <v>435</v>
      </c>
      <c r="J72" s="8" t="n">
        <v>23.4</v>
      </c>
      <c r="K72" s="8" t="n">
        <v>23.1</v>
      </c>
      <c r="L72" s="8" t="n">
        <v>50</v>
      </c>
      <c r="M72" s="8" t="n">
        <v>32.9</v>
      </c>
      <c r="N72" s="8" t="n">
        <v>0</v>
      </c>
      <c r="O72" s="8" t="n">
        <v>6</v>
      </c>
      <c r="P72" s="8" t="n">
        <v>89</v>
      </c>
      <c r="Q72" s="8" t="n">
        <v>4</v>
      </c>
      <c r="R72" s="8" t="s">
        <v>52</v>
      </c>
      <c r="S72" s="8" t="s">
        <v>55</v>
      </c>
      <c r="T72" s="8" t="s">
        <v>323</v>
      </c>
      <c r="U72" s="8" t="n">
        <v>2</v>
      </c>
      <c r="V72" s="10" t="s">
        <v>57</v>
      </c>
      <c r="W72" s="8" t="n">
        <v>2</v>
      </c>
      <c r="X72" s="10" t="s">
        <v>57</v>
      </c>
      <c r="Y72" s="8" t="n">
        <v>4.5</v>
      </c>
      <c r="Z72" s="8" t="s">
        <v>58</v>
      </c>
      <c r="AA72" s="8" t="s">
        <v>224</v>
      </c>
      <c r="AB72" s="8" t="s">
        <v>55</v>
      </c>
      <c r="AC72" s="8"/>
    </row>
    <row r="73" customFormat="false" ht="15" hidden="false" customHeight="false" outlineLevel="0" collapsed="false">
      <c r="A73" s="8" t="s">
        <v>341</v>
      </c>
      <c r="B73" s="8" t="s">
        <v>198</v>
      </c>
      <c r="C73" s="8" t="s">
        <v>342</v>
      </c>
      <c r="D73" s="8" t="s">
        <v>208</v>
      </c>
      <c r="E73" s="8" t="s">
        <v>52</v>
      </c>
      <c r="F73" s="8" t="s">
        <v>343</v>
      </c>
      <c r="G73" s="8" t="n">
        <v>13</v>
      </c>
      <c r="H73" s="8" t="s">
        <v>54</v>
      </c>
      <c r="I73" s="8" t="n">
        <v>512</v>
      </c>
      <c r="J73" s="8" t="n">
        <v>25.4</v>
      </c>
      <c r="K73" s="8" t="n">
        <v>20</v>
      </c>
      <c r="L73" s="8" t="n">
        <v>67.9</v>
      </c>
      <c r="M73" s="8" t="n">
        <v>44.9</v>
      </c>
      <c r="N73" s="8" t="n">
        <v>0</v>
      </c>
      <c r="O73" s="8" t="n">
        <v>3.7</v>
      </c>
      <c r="P73" s="8" t="n">
        <v>99</v>
      </c>
      <c r="Q73" s="8" t="n">
        <v>4</v>
      </c>
      <c r="R73" s="8" t="s">
        <v>52</v>
      </c>
      <c r="S73" s="8" t="s">
        <v>55</v>
      </c>
      <c r="T73" s="8" t="s">
        <v>323</v>
      </c>
      <c r="U73" s="8" t="n">
        <v>1</v>
      </c>
      <c r="V73" s="10" t="s">
        <v>57</v>
      </c>
      <c r="W73" s="8" t="n">
        <v>1</v>
      </c>
      <c r="X73" s="10" t="s">
        <v>57</v>
      </c>
      <c r="Y73" s="8" t="n">
        <v>5.5</v>
      </c>
      <c r="Z73" s="8" t="s">
        <v>58</v>
      </c>
      <c r="AA73" s="8" t="s">
        <v>224</v>
      </c>
      <c r="AB73" s="8" t="s">
        <v>55</v>
      </c>
      <c r="AC73" s="8"/>
    </row>
    <row r="74" customFormat="false" ht="15" hidden="false" customHeight="false" outlineLevel="0" collapsed="false">
      <c r="A74" s="8" t="s">
        <v>344</v>
      </c>
      <c r="B74" s="8" t="s">
        <v>198</v>
      </c>
      <c r="C74" s="8" t="s">
        <v>345</v>
      </c>
      <c r="D74" s="8" t="s">
        <v>346</v>
      </c>
      <c r="E74" s="8" t="s">
        <v>52</v>
      </c>
      <c r="F74" s="8" t="s">
        <v>347</v>
      </c>
      <c r="G74" s="8" t="n">
        <v>8</v>
      </c>
      <c r="H74" s="8" t="s">
        <v>54</v>
      </c>
      <c r="I74" s="8" t="n">
        <v>468</v>
      </c>
      <c r="J74" s="8" t="n">
        <v>17.5</v>
      </c>
      <c r="K74" s="8" t="n">
        <v>17.3</v>
      </c>
      <c r="L74" s="8" t="n">
        <v>75.1</v>
      </c>
      <c r="M74" s="8" t="n">
        <v>70</v>
      </c>
      <c r="N74" s="8" t="n">
        <v>0</v>
      </c>
      <c r="O74" s="8" t="n">
        <v>3.6</v>
      </c>
      <c r="P74" s="8" t="n">
        <v>74</v>
      </c>
      <c r="Q74" s="8" t="n">
        <v>4</v>
      </c>
      <c r="R74" s="8" t="s">
        <v>52</v>
      </c>
      <c r="S74" s="8" t="s">
        <v>55</v>
      </c>
      <c r="T74" s="8" t="s">
        <v>209</v>
      </c>
      <c r="U74" s="8" t="n">
        <v>1</v>
      </c>
      <c r="V74" s="10" t="s">
        <v>57</v>
      </c>
      <c r="W74" s="8" t="n">
        <v>1</v>
      </c>
      <c r="X74" s="10" t="s">
        <v>57</v>
      </c>
      <c r="Y74" s="8" t="n">
        <v>5</v>
      </c>
      <c r="Z74" s="8" t="s">
        <v>58</v>
      </c>
      <c r="AA74" s="8" t="s">
        <v>224</v>
      </c>
      <c r="AB74" s="8" t="s">
        <v>55</v>
      </c>
      <c r="AC74" s="8"/>
    </row>
    <row r="75" customFormat="false" ht="15" hidden="false" customHeight="false" outlineLevel="0" collapsed="false">
      <c r="A75" s="8" t="s">
        <v>348</v>
      </c>
      <c r="B75" s="8" t="s">
        <v>338</v>
      </c>
      <c r="C75" s="8" t="s">
        <v>349</v>
      </c>
      <c r="D75" s="8" t="s">
        <v>208</v>
      </c>
      <c r="E75" s="8" t="s">
        <v>52</v>
      </c>
      <c r="F75" s="8" t="s">
        <v>350</v>
      </c>
      <c r="G75" s="8" t="n">
        <v>37</v>
      </c>
      <c r="H75" s="8" t="s">
        <v>54</v>
      </c>
      <c r="I75" s="8" t="n">
        <v>518</v>
      </c>
      <c r="J75" s="8" t="n">
        <v>25.7</v>
      </c>
      <c r="K75" s="8" t="n">
        <v>23</v>
      </c>
      <c r="L75" s="8" t="n">
        <v>63.8</v>
      </c>
      <c r="M75" s="8" t="n">
        <v>48.7</v>
      </c>
      <c r="N75" s="8" t="n">
        <v>2.6</v>
      </c>
      <c r="O75" s="8" t="n">
        <v>8</v>
      </c>
      <c r="P75" s="8"/>
      <c r="Q75" s="8" t="n">
        <v>4</v>
      </c>
      <c r="R75" s="8" t="s">
        <v>52</v>
      </c>
      <c r="S75" s="8" t="s">
        <v>55</v>
      </c>
      <c r="T75" s="8" t="s">
        <v>323</v>
      </c>
      <c r="U75" s="8" t="n">
        <v>1</v>
      </c>
      <c r="V75" s="10" t="s">
        <v>57</v>
      </c>
      <c r="W75" s="8" t="n">
        <v>1</v>
      </c>
      <c r="X75" s="10" t="s">
        <v>57</v>
      </c>
      <c r="Y75" s="8" t="n">
        <v>5.5</v>
      </c>
      <c r="Z75" s="8" t="s">
        <v>58</v>
      </c>
      <c r="AA75" s="8" t="s">
        <v>224</v>
      </c>
      <c r="AB75" s="8" t="s">
        <v>55</v>
      </c>
      <c r="AC75" s="8"/>
    </row>
    <row r="76" customFormat="false" ht="15" hidden="false" customHeight="false" outlineLevel="0" collapsed="false">
      <c r="A76" s="8" t="s">
        <v>351</v>
      </c>
      <c r="B76" s="8" t="s">
        <v>352</v>
      </c>
      <c r="C76" s="8" t="s">
        <v>353</v>
      </c>
      <c r="D76" s="8" t="s">
        <v>354</v>
      </c>
      <c r="E76" s="8" t="s">
        <v>52</v>
      </c>
      <c r="F76" s="8"/>
      <c r="G76" s="8" t="n">
        <v>350</v>
      </c>
      <c r="H76" s="8" t="s">
        <v>54</v>
      </c>
      <c r="I76" s="8" t="n">
        <v>539</v>
      </c>
      <c r="J76" s="8" t="n">
        <v>30.9</v>
      </c>
      <c r="K76" s="8" t="n">
        <v>10.6</v>
      </c>
      <c r="L76" s="8" t="n">
        <v>57.5</v>
      </c>
      <c r="M76" s="8" t="n">
        <v>56.3</v>
      </c>
      <c r="N76" s="8" t="n">
        <v>0</v>
      </c>
      <c r="O76" s="8" t="n">
        <v>6.3</v>
      </c>
      <c r="P76" s="8" t="n">
        <v>43</v>
      </c>
      <c r="Q76" s="8" t="n">
        <v>4</v>
      </c>
      <c r="R76" s="8" t="s">
        <v>52</v>
      </c>
      <c r="S76" s="8" t="s">
        <v>55</v>
      </c>
      <c r="T76" s="8" t="s">
        <v>355</v>
      </c>
      <c r="U76" s="8" t="n">
        <v>1</v>
      </c>
      <c r="V76" s="10" t="s">
        <v>57</v>
      </c>
      <c r="W76" s="8" t="n">
        <v>1</v>
      </c>
      <c r="X76" s="10" t="s">
        <v>57</v>
      </c>
      <c r="Y76" s="8" t="n">
        <v>5.5</v>
      </c>
      <c r="Z76" s="8" t="s">
        <v>58</v>
      </c>
      <c r="AA76" s="8" t="s">
        <v>253</v>
      </c>
      <c r="AB76" s="8" t="s">
        <v>55</v>
      </c>
      <c r="AC76" s="8"/>
    </row>
    <row r="77" customFormat="false" ht="15" hidden="false" customHeight="false" outlineLevel="0" collapsed="false">
      <c r="A77" s="8" t="s">
        <v>356</v>
      </c>
      <c r="B77" s="8" t="s">
        <v>216</v>
      </c>
      <c r="C77" s="8" t="s">
        <v>357</v>
      </c>
      <c r="D77" s="8" t="s">
        <v>354</v>
      </c>
      <c r="E77" s="8" t="s">
        <v>52</v>
      </c>
      <c r="F77" s="8" t="s">
        <v>358</v>
      </c>
      <c r="G77" s="8" t="n">
        <v>500</v>
      </c>
      <c r="H77" s="8" t="s">
        <v>54</v>
      </c>
      <c r="I77" s="8" t="n">
        <v>285</v>
      </c>
      <c r="J77" s="8" t="n">
        <v>0.1</v>
      </c>
      <c r="K77" s="8" t="n">
        <v>0</v>
      </c>
      <c r="L77" s="8" t="n">
        <v>70.5</v>
      </c>
      <c r="M77" s="8" t="n">
        <v>68.1</v>
      </c>
      <c r="N77" s="8" t="n">
        <v>0.7</v>
      </c>
      <c r="O77" s="8" t="n">
        <v>0.3</v>
      </c>
      <c r="P77" s="8" t="n">
        <v>51</v>
      </c>
      <c r="Q77" s="8" t="n">
        <v>4</v>
      </c>
      <c r="R77" s="8" t="s">
        <v>52</v>
      </c>
      <c r="S77" s="8" t="s">
        <v>55</v>
      </c>
      <c r="T77" s="8"/>
      <c r="U77" s="8" t="n">
        <v>2</v>
      </c>
      <c r="V77" s="10" t="s">
        <v>57</v>
      </c>
      <c r="W77" s="8" t="n">
        <v>2</v>
      </c>
      <c r="X77" s="10" t="s">
        <v>57</v>
      </c>
      <c r="Y77" s="8" t="n">
        <v>3.5</v>
      </c>
      <c r="Z77" s="8" t="s">
        <v>58</v>
      </c>
      <c r="AA77" s="8" t="s">
        <v>224</v>
      </c>
      <c r="AB77" s="8" t="s">
        <v>55</v>
      </c>
      <c r="AC77" s="8"/>
    </row>
    <row r="78" customFormat="false" ht="15" hidden="false" customHeight="false" outlineLevel="0" collapsed="false">
      <c r="A78" s="8" t="s">
        <v>359</v>
      </c>
      <c r="B78" s="8" t="s">
        <v>360</v>
      </c>
      <c r="C78" s="8" t="s">
        <v>361</v>
      </c>
      <c r="D78" s="8" t="s">
        <v>154</v>
      </c>
      <c r="E78" s="8" t="s">
        <v>52</v>
      </c>
      <c r="F78" s="8" t="s">
        <v>362</v>
      </c>
      <c r="G78" s="8" t="n">
        <v>70</v>
      </c>
      <c r="H78" s="8" t="s">
        <v>54</v>
      </c>
      <c r="I78" s="8" t="n">
        <v>445</v>
      </c>
      <c r="J78" s="8" t="n">
        <v>15.1</v>
      </c>
      <c r="K78" s="8" t="n">
        <v>8.7</v>
      </c>
      <c r="L78" s="8" t="n">
        <v>66.5</v>
      </c>
      <c r="M78" s="8" t="n">
        <v>2.9</v>
      </c>
      <c r="N78" s="8" t="n">
        <v>0</v>
      </c>
      <c r="O78" s="8" t="n">
        <v>8.9</v>
      </c>
      <c r="P78" s="8" t="n">
        <v>1742</v>
      </c>
      <c r="Q78" s="8" t="n">
        <v>4</v>
      </c>
      <c r="R78" s="8" t="s">
        <v>52</v>
      </c>
      <c r="S78" s="8" t="s">
        <v>55</v>
      </c>
      <c r="T78" s="8" t="s">
        <v>68</v>
      </c>
      <c r="U78" s="8" t="n">
        <v>2</v>
      </c>
      <c r="V78" s="10" t="s">
        <v>57</v>
      </c>
      <c r="W78" s="8" t="n">
        <v>2</v>
      </c>
      <c r="X78" s="10" t="s">
        <v>57</v>
      </c>
      <c r="Y78" s="8" t="n">
        <v>4</v>
      </c>
      <c r="Z78" s="8" t="s">
        <v>58</v>
      </c>
      <c r="AA78" s="8" t="s">
        <v>224</v>
      </c>
      <c r="AB78" s="8" t="s">
        <v>55</v>
      </c>
      <c r="AC78" s="8"/>
    </row>
    <row r="79" customFormat="false" ht="15" hidden="false" customHeight="false" outlineLevel="0" collapsed="false">
      <c r="A79" s="8" t="s">
        <v>363</v>
      </c>
      <c r="B79" s="8" t="s">
        <v>152</v>
      </c>
      <c r="C79" s="8" t="s">
        <v>364</v>
      </c>
      <c r="D79" s="8" t="s">
        <v>154</v>
      </c>
      <c r="E79" s="8" t="s">
        <v>52</v>
      </c>
      <c r="F79" s="8" t="s">
        <v>365</v>
      </c>
      <c r="G79" s="8" t="n">
        <v>72.5</v>
      </c>
      <c r="H79" s="8" t="s">
        <v>54</v>
      </c>
      <c r="I79" s="8" t="n">
        <v>422</v>
      </c>
      <c r="J79" s="8" t="n">
        <v>14.6</v>
      </c>
      <c r="K79" s="8" t="n">
        <v>7.4</v>
      </c>
      <c r="L79" s="8" t="n">
        <v>60.6</v>
      </c>
      <c r="M79" s="8" t="n">
        <v>2.8</v>
      </c>
      <c r="N79" s="8" t="n">
        <v>6</v>
      </c>
      <c r="O79" s="8" t="n">
        <v>12</v>
      </c>
      <c r="P79" s="8" t="n">
        <v>1100</v>
      </c>
      <c r="Q79" s="8" t="n">
        <v>4</v>
      </c>
      <c r="R79" s="8" t="s">
        <v>52</v>
      </c>
      <c r="S79" s="8" t="s">
        <v>55</v>
      </c>
      <c r="T79" s="8" t="s">
        <v>68</v>
      </c>
      <c r="U79" s="8" t="n">
        <v>3</v>
      </c>
      <c r="V79" s="9" t="s">
        <v>56</v>
      </c>
      <c r="W79" s="8" t="n">
        <v>3</v>
      </c>
      <c r="X79" s="9" t="s">
        <v>56</v>
      </c>
      <c r="Y79" s="8" t="n">
        <v>2.75</v>
      </c>
      <c r="Z79" s="8" t="s">
        <v>99</v>
      </c>
      <c r="AA79" s="8" t="s">
        <v>224</v>
      </c>
      <c r="AB79" s="8" t="s">
        <v>55</v>
      </c>
      <c r="AC79" s="8"/>
    </row>
    <row r="80" customFormat="false" ht="15" hidden="false" customHeight="false" outlineLevel="0" collapsed="false">
      <c r="A80" s="8" t="s">
        <v>366</v>
      </c>
      <c r="B80" s="8" t="s">
        <v>143</v>
      </c>
      <c r="C80" s="8" t="s">
        <v>367</v>
      </c>
      <c r="D80" s="8" t="s">
        <v>145</v>
      </c>
      <c r="E80" s="8" t="s">
        <v>52</v>
      </c>
      <c r="F80" s="8" t="s">
        <v>368</v>
      </c>
      <c r="G80" s="8" t="n">
        <v>250</v>
      </c>
      <c r="H80" s="8" t="s">
        <v>54</v>
      </c>
      <c r="I80" s="8" t="n">
        <v>380</v>
      </c>
      <c r="J80" s="8" t="n">
        <v>1</v>
      </c>
      <c r="K80" s="8" t="n">
        <v>0.67</v>
      </c>
      <c r="L80" s="8" t="n">
        <v>87</v>
      </c>
      <c r="M80" s="8" t="n">
        <v>8.33</v>
      </c>
      <c r="N80" s="8" t="n">
        <v>2.67</v>
      </c>
      <c r="O80" s="8" t="n">
        <v>6.67</v>
      </c>
      <c r="P80" s="8" t="n">
        <v>500</v>
      </c>
      <c r="Q80" s="8" t="n">
        <v>4</v>
      </c>
      <c r="R80" s="8" t="s">
        <v>52</v>
      </c>
      <c r="S80" s="8" t="s">
        <v>55</v>
      </c>
      <c r="T80" s="8"/>
      <c r="U80" s="8" t="n">
        <v>3.5</v>
      </c>
      <c r="V80" s="9" t="s">
        <v>56</v>
      </c>
      <c r="W80" s="8" t="n">
        <v>2.5</v>
      </c>
      <c r="X80" s="9" t="s">
        <v>56</v>
      </c>
      <c r="Y80" s="8" t="n">
        <v>2.5</v>
      </c>
      <c r="Z80" s="8" t="s">
        <v>99</v>
      </c>
      <c r="AA80" s="8" t="s">
        <v>224</v>
      </c>
      <c r="AB80" s="8" t="s">
        <v>55</v>
      </c>
      <c r="AC80" s="8"/>
    </row>
    <row r="81" customFormat="false" ht="15" hidden="false" customHeight="false" outlineLevel="0" collapsed="false">
      <c r="A81" s="8" t="s">
        <v>369</v>
      </c>
      <c r="B81" s="8" t="s">
        <v>370</v>
      </c>
      <c r="C81" s="8" t="s">
        <v>371</v>
      </c>
      <c r="D81" s="8" t="s">
        <v>145</v>
      </c>
      <c r="E81" s="8" t="s">
        <v>52</v>
      </c>
      <c r="F81" s="8" t="s">
        <v>372</v>
      </c>
      <c r="G81" s="8" t="n">
        <v>400</v>
      </c>
      <c r="H81" s="8" t="s">
        <v>54</v>
      </c>
      <c r="I81" s="8" t="n">
        <v>407</v>
      </c>
      <c r="J81" s="8" t="n">
        <v>9.5</v>
      </c>
      <c r="K81" s="8" t="n">
        <v>1.9</v>
      </c>
      <c r="L81" s="8" t="n">
        <v>68.5</v>
      </c>
      <c r="M81" s="8" t="n">
        <v>1.8</v>
      </c>
      <c r="N81" s="8" t="n">
        <v>10</v>
      </c>
      <c r="O81" s="8" t="n">
        <v>11.8</v>
      </c>
      <c r="P81" s="8" t="n">
        <v>9.5</v>
      </c>
      <c r="Q81" s="8" t="n">
        <v>1</v>
      </c>
      <c r="R81" s="8" t="s">
        <v>52</v>
      </c>
      <c r="S81" s="8" t="s">
        <v>55</v>
      </c>
      <c r="T81" s="8" t="s">
        <v>68</v>
      </c>
      <c r="U81" s="8" t="n">
        <v>5</v>
      </c>
      <c r="V81" s="12" t="s">
        <v>125</v>
      </c>
      <c r="W81" s="8" t="n">
        <v>5</v>
      </c>
      <c r="X81" s="12" t="s">
        <v>125</v>
      </c>
      <c r="Y81" s="8" t="n">
        <v>0</v>
      </c>
      <c r="Z81" s="8" t="s">
        <v>126</v>
      </c>
      <c r="AA81" s="8" t="s">
        <v>224</v>
      </c>
      <c r="AB81" s="8" t="s">
        <v>55</v>
      </c>
      <c r="AC81" s="8"/>
    </row>
    <row r="82" customFormat="false" ht="15" hidden="false" customHeight="false" outlineLevel="0" collapsed="false">
      <c r="A82" s="8" t="s">
        <v>373</v>
      </c>
      <c r="B82" s="8" t="s">
        <v>148</v>
      </c>
      <c r="C82" s="8" t="s">
        <v>374</v>
      </c>
      <c r="D82" s="8" t="s">
        <v>145</v>
      </c>
      <c r="E82" s="8" t="s">
        <v>52</v>
      </c>
      <c r="F82" s="8" t="s">
        <v>375</v>
      </c>
      <c r="G82" s="8" t="n">
        <v>1000</v>
      </c>
      <c r="H82" s="8" t="s">
        <v>54</v>
      </c>
      <c r="I82" s="8" t="n">
        <v>369</v>
      </c>
      <c r="J82" s="8" t="n">
        <v>8</v>
      </c>
      <c r="K82" s="8" t="n">
        <v>1.6</v>
      </c>
      <c r="L82" s="8" t="n">
        <v>66.8</v>
      </c>
      <c r="M82" s="8" t="n">
        <v>0.5</v>
      </c>
      <c r="N82" s="8" t="n">
        <v>10.4</v>
      </c>
      <c r="O82" s="8" t="n">
        <v>12.6</v>
      </c>
      <c r="P82" s="8" t="n">
        <v>5</v>
      </c>
      <c r="Q82" s="8" t="n">
        <v>1</v>
      </c>
      <c r="R82" s="8" t="s">
        <v>52</v>
      </c>
      <c r="S82" s="8" t="s">
        <v>55</v>
      </c>
      <c r="T82" s="8" t="s">
        <v>68</v>
      </c>
      <c r="U82" s="8" t="n">
        <v>5</v>
      </c>
      <c r="V82" s="12" t="s">
        <v>125</v>
      </c>
      <c r="W82" s="8" t="n">
        <v>5</v>
      </c>
      <c r="X82" s="12" t="s">
        <v>125</v>
      </c>
      <c r="Y82" s="8" t="n">
        <v>0</v>
      </c>
      <c r="Z82" s="8" t="s">
        <v>126</v>
      </c>
      <c r="AA82" s="8" t="s">
        <v>224</v>
      </c>
      <c r="AB82" s="8" t="s">
        <v>55</v>
      </c>
      <c r="AC82" s="8"/>
    </row>
    <row r="83" customFormat="false" ht="15" hidden="false" customHeight="false" outlineLevel="0" collapsed="false">
      <c r="A83" s="8" t="s">
        <v>376</v>
      </c>
      <c r="B83" s="8" t="s">
        <v>161</v>
      </c>
      <c r="C83" s="8" t="s">
        <v>377</v>
      </c>
      <c r="D83" s="8" t="s">
        <v>163</v>
      </c>
      <c r="E83" s="8" t="s">
        <v>52</v>
      </c>
      <c r="F83" s="8" t="s">
        <v>378</v>
      </c>
      <c r="G83" s="8" t="n">
        <v>200</v>
      </c>
      <c r="H83" s="8" t="s">
        <v>54</v>
      </c>
      <c r="I83" s="8" t="n">
        <v>311</v>
      </c>
      <c r="J83" s="8" t="n">
        <v>25</v>
      </c>
      <c r="K83" s="8" t="n">
        <v>16</v>
      </c>
      <c r="L83" s="8" t="n">
        <v>1.5</v>
      </c>
      <c r="M83" s="8" t="n">
        <v>1.5</v>
      </c>
      <c r="N83" s="8" t="n">
        <v>0</v>
      </c>
      <c r="O83" s="8" t="n">
        <v>20</v>
      </c>
      <c r="P83" s="8" t="n">
        <v>1200</v>
      </c>
      <c r="Q83" s="8" t="n">
        <v>4</v>
      </c>
      <c r="R83" s="8" t="s">
        <v>52</v>
      </c>
      <c r="S83" s="8" t="s">
        <v>55</v>
      </c>
      <c r="T83" s="8" t="s">
        <v>76</v>
      </c>
      <c r="U83" s="8" t="n">
        <v>2</v>
      </c>
      <c r="V83" s="10" t="s">
        <v>57</v>
      </c>
      <c r="W83" s="8" t="n">
        <v>2</v>
      </c>
      <c r="X83" s="10" t="s">
        <v>57</v>
      </c>
      <c r="Y83" s="8" t="n">
        <v>3.5</v>
      </c>
      <c r="Z83" s="8" t="s">
        <v>58</v>
      </c>
      <c r="AA83" s="8" t="s">
        <v>224</v>
      </c>
      <c r="AB83" s="8" t="s">
        <v>55</v>
      </c>
      <c r="AC83" s="8"/>
    </row>
    <row r="84" customFormat="false" ht="15" hidden="false" customHeight="false" outlineLevel="0" collapsed="false">
      <c r="A84" s="8" t="s">
        <v>379</v>
      </c>
      <c r="B84" s="8" t="s">
        <v>380</v>
      </c>
      <c r="C84" s="8" t="s">
        <v>381</v>
      </c>
      <c r="D84" s="8" t="s">
        <v>163</v>
      </c>
      <c r="E84" s="8" t="s">
        <v>52</v>
      </c>
      <c r="F84" s="8" t="s">
        <v>382</v>
      </c>
      <c r="G84" s="8" t="n">
        <v>80</v>
      </c>
      <c r="H84" s="8" t="s">
        <v>54</v>
      </c>
      <c r="I84" s="8" t="n">
        <v>136</v>
      </c>
      <c r="J84" s="8" t="n">
        <v>5</v>
      </c>
      <c r="K84" s="8" t="n">
        <v>3.75</v>
      </c>
      <c r="L84" s="8" t="n">
        <v>17.5</v>
      </c>
      <c r="M84" s="8" t="n">
        <v>17.5</v>
      </c>
      <c r="N84" s="8" t="n">
        <v>0</v>
      </c>
      <c r="O84" s="8" t="n">
        <v>5</v>
      </c>
      <c r="P84" s="8" t="n">
        <v>79</v>
      </c>
      <c r="Q84" s="8" t="n">
        <v>3</v>
      </c>
      <c r="R84" s="8" t="s">
        <v>52</v>
      </c>
      <c r="S84" s="8" t="s">
        <v>55</v>
      </c>
      <c r="T84" s="8" t="s">
        <v>76</v>
      </c>
      <c r="U84" s="8" t="n">
        <v>3.5</v>
      </c>
      <c r="V84" s="9" t="s">
        <v>56</v>
      </c>
      <c r="W84" s="8" t="n">
        <v>3</v>
      </c>
      <c r="X84" s="9" t="s">
        <v>56</v>
      </c>
      <c r="Y84" s="8" t="n">
        <v>1.75</v>
      </c>
      <c r="Z84" s="8" t="s">
        <v>99</v>
      </c>
      <c r="AA84" s="8" t="s">
        <v>224</v>
      </c>
      <c r="AB84" s="8" t="s">
        <v>55</v>
      </c>
      <c r="AC84" s="8"/>
    </row>
  </sheetData>
  <autoFilter ref="A1:AC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1"/>
  </cols>
  <sheetData>
    <row r="1" customFormat="false" ht="31.5" hidden="false" customHeight="true" outlineLevel="0" collapsed="false">
      <c r="A1" s="7" t="s">
        <v>383</v>
      </c>
      <c r="B1" s="7" t="s">
        <v>384</v>
      </c>
      <c r="C1" s="7" t="s">
        <v>385</v>
      </c>
      <c r="D1" s="7" t="s">
        <v>33</v>
      </c>
      <c r="E1" s="7" t="s">
        <v>30</v>
      </c>
      <c r="F1" s="7" t="s">
        <v>28</v>
      </c>
      <c r="G1" s="7" t="s">
        <v>31</v>
      </c>
      <c r="H1" s="7" t="s">
        <v>34</v>
      </c>
    </row>
    <row r="2" customFormat="false" ht="15" hidden="false" customHeight="false" outlineLevel="0" collapsed="false">
      <c r="A2" s="8" t="s">
        <v>386</v>
      </c>
      <c r="B2" s="8" t="s">
        <v>387</v>
      </c>
      <c r="C2" s="8" t="n">
        <v>120</v>
      </c>
      <c r="D2" s="8" t="n">
        <v>3</v>
      </c>
      <c r="E2" s="8" t="n">
        <v>18</v>
      </c>
      <c r="F2" s="8" t="n">
        <v>3.5</v>
      </c>
      <c r="G2" s="8" t="n">
        <v>0</v>
      </c>
      <c r="H2" s="8" t="n">
        <v>120</v>
      </c>
    </row>
    <row r="3" customFormat="false" ht="15" hidden="false" customHeight="false" outlineLevel="0" collapsed="false">
      <c r="A3" s="8" t="s">
        <v>388</v>
      </c>
      <c r="B3" s="8" t="s">
        <v>389</v>
      </c>
      <c r="C3" s="8" t="n">
        <v>70</v>
      </c>
      <c r="D3" s="8" t="n">
        <v>2.5</v>
      </c>
      <c r="E3" s="8" t="n">
        <v>15</v>
      </c>
      <c r="F3" s="8" t="n">
        <v>0.4</v>
      </c>
      <c r="G3" s="8" t="n">
        <v>0</v>
      </c>
      <c r="H3" s="8" t="n">
        <v>80</v>
      </c>
    </row>
    <row r="4" customFormat="false" ht="15" hidden="false" customHeight="false" outlineLevel="0" collapsed="false">
      <c r="A4" s="8" t="s">
        <v>390</v>
      </c>
      <c r="B4" s="8" t="s">
        <v>391</v>
      </c>
      <c r="C4" s="8" t="n">
        <v>220</v>
      </c>
      <c r="D4" s="8" t="n">
        <v>4.5</v>
      </c>
      <c r="E4" s="8" t="n">
        <v>28</v>
      </c>
      <c r="F4" s="8" t="n">
        <v>9</v>
      </c>
      <c r="G4" s="8" t="n">
        <v>0</v>
      </c>
      <c r="H4" s="8" t="n">
        <v>200</v>
      </c>
    </row>
    <row r="5" customFormat="false" ht="15" hidden="false" customHeight="false" outlineLevel="0" collapsed="false">
      <c r="A5" s="8" t="s">
        <v>392</v>
      </c>
      <c r="B5" s="8" t="s">
        <v>393</v>
      </c>
      <c r="C5" s="8" t="n">
        <v>195</v>
      </c>
      <c r="D5" s="8" t="n">
        <v>4</v>
      </c>
      <c r="E5" s="8" t="n">
        <v>43</v>
      </c>
      <c r="F5" s="8" t="n">
        <v>0.4</v>
      </c>
      <c r="G5" s="8" t="n">
        <v>0</v>
      </c>
      <c r="H5" s="8" t="n">
        <v>5</v>
      </c>
    </row>
    <row r="6" customFormat="false" ht="15" hidden="false" customHeight="false" outlineLevel="0" collapsed="false">
      <c r="A6" s="8" t="s">
        <v>394</v>
      </c>
      <c r="B6" s="8" t="s">
        <v>393</v>
      </c>
      <c r="C6" s="8" t="n">
        <v>240</v>
      </c>
      <c r="D6" s="8" t="n">
        <v>4</v>
      </c>
      <c r="E6" s="8" t="n">
        <v>42</v>
      </c>
      <c r="F6" s="8" t="n">
        <v>6</v>
      </c>
      <c r="G6" s="8" t="n">
        <v>0</v>
      </c>
      <c r="H6" s="8" t="n">
        <v>250</v>
      </c>
    </row>
    <row r="7" customFormat="false" ht="15" hidden="false" customHeight="false" outlineLevel="0" collapsed="false">
      <c r="A7" s="8" t="s">
        <v>395</v>
      </c>
      <c r="B7" s="8" t="s">
        <v>393</v>
      </c>
      <c r="C7" s="8" t="n">
        <v>180</v>
      </c>
      <c r="D7" s="8" t="n">
        <v>9</v>
      </c>
      <c r="E7" s="8" t="n">
        <v>22</v>
      </c>
      <c r="F7" s="8" t="n">
        <v>6</v>
      </c>
      <c r="G7" s="8" t="n">
        <v>1</v>
      </c>
      <c r="H7" s="8" t="n">
        <v>400</v>
      </c>
    </row>
    <row r="8" customFormat="false" ht="15" hidden="false" customHeight="false" outlineLevel="0" collapsed="false">
      <c r="A8" s="8" t="s">
        <v>396</v>
      </c>
      <c r="B8" s="8" t="s">
        <v>393</v>
      </c>
      <c r="C8" s="8" t="n">
        <v>210</v>
      </c>
      <c r="D8" s="8" t="n">
        <v>10</v>
      </c>
      <c r="E8" s="8" t="n">
        <v>28</v>
      </c>
      <c r="F8" s="8" t="n">
        <v>6</v>
      </c>
      <c r="G8" s="8" t="n">
        <v>2</v>
      </c>
      <c r="H8" s="8" t="n">
        <v>450</v>
      </c>
    </row>
    <row r="9" customFormat="false" ht="15" hidden="false" customHeight="false" outlineLevel="0" collapsed="false">
      <c r="A9" s="8" t="s">
        <v>397</v>
      </c>
      <c r="B9" s="8" t="s">
        <v>393</v>
      </c>
      <c r="C9" s="8" t="n">
        <v>240</v>
      </c>
      <c r="D9" s="8" t="n">
        <v>10</v>
      </c>
      <c r="E9" s="8" t="n">
        <v>30</v>
      </c>
      <c r="F9" s="8" t="n">
        <v>9</v>
      </c>
      <c r="G9" s="8" t="n">
        <v>3</v>
      </c>
      <c r="H9" s="8" t="n">
        <v>480</v>
      </c>
    </row>
    <row r="10" customFormat="false" ht="15" hidden="false" customHeight="false" outlineLevel="0" collapsed="false">
      <c r="A10" s="8" t="s">
        <v>398</v>
      </c>
      <c r="B10" s="8" t="s">
        <v>393</v>
      </c>
      <c r="C10" s="8" t="n">
        <v>350</v>
      </c>
      <c r="D10" s="8" t="n">
        <v>13</v>
      </c>
      <c r="E10" s="8" t="n">
        <v>12</v>
      </c>
      <c r="F10" s="8" t="n">
        <v>26</v>
      </c>
      <c r="G10" s="8" t="n">
        <v>6</v>
      </c>
      <c r="H10" s="8" t="n">
        <v>600</v>
      </c>
    </row>
    <row r="11" customFormat="false" ht="15" hidden="false" customHeight="false" outlineLevel="0" collapsed="false">
      <c r="A11" s="8" t="s">
        <v>399</v>
      </c>
      <c r="B11" s="8" t="s">
        <v>393</v>
      </c>
      <c r="C11" s="8" t="n">
        <v>250</v>
      </c>
      <c r="D11" s="8" t="n">
        <v>12</v>
      </c>
      <c r="E11" s="8" t="n">
        <v>9</v>
      </c>
      <c r="F11" s="8" t="n">
        <v>18</v>
      </c>
      <c r="G11" s="8" t="n">
        <v>2</v>
      </c>
      <c r="H11" s="8" t="n">
        <v>450</v>
      </c>
    </row>
    <row r="12" customFormat="false" ht="15" hidden="false" customHeight="false" outlineLevel="0" collapsed="false">
      <c r="A12" s="8" t="s">
        <v>400</v>
      </c>
      <c r="B12" s="8" t="s">
        <v>393</v>
      </c>
      <c r="C12" s="8" t="n">
        <v>180</v>
      </c>
      <c r="D12" s="8" t="n">
        <v>3</v>
      </c>
      <c r="E12" s="8" t="n">
        <v>24</v>
      </c>
      <c r="F12" s="8" t="n">
        <v>8</v>
      </c>
      <c r="G12" s="8" t="n">
        <v>2</v>
      </c>
      <c r="H12" s="8" t="n">
        <v>380</v>
      </c>
    </row>
    <row r="13" customFormat="false" ht="15" hidden="false" customHeight="false" outlineLevel="0" collapsed="false">
      <c r="A13" s="8" t="s">
        <v>401</v>
      </c>
      <c r="B13" s="8" t="s">
        <v>402</v>
      </c>
      <c r="C13" s="8" t="n">
        <v>140</v>
      </c>
      <c r="D13" s="8" t="n">
        <v>3</v>
      </c>
      <c r="E13" s="8" t="n">
        <v>12</v>
      </c>
      <c r="F13" s="8" t="n">
        <v>9</v>
      </c>
      <c r="G13" s="8" t="n">
        <v>3</v>
      </c>
      <c r="H13" s="8" t="n">
        <v>300</v>
      </c>
    </row>
    <row r="14" customFormat="false" ht="15" hidden="false" customHeight="false" outlineLevel="0" collapsed="false">
      <c r="A14" s="8" t="s">
        <v>403</v>
      </c>
      <c r="B14" s="8" t="s">
        <v>404</v>
      </c>
      <c r="C14" s="8" t="n">
        <v>60</v>
      </c>
      <c r="D14" s="8" t="n">
        <v>3.4</v>
      </c>
      <c r="E14" s="8" t="n">
        <v>4.7</v>
      </c>
      <c r="F14" s="8" t="n">
        <v>3</v>
      </c>
      <c r="G14" s="8" t="n">
        <v>4.7</v>
      </c>
      <c r="H14" s="8" t="n">
        <v>50</v>
      </c>
    </row>
    <row r="15" customFormat="false" ht="15" hidden="false" customHeight="false" outlineLevel="0" collapsed="false">
      <c r="A15" s="8" t="s">
        <v>405</v>
      </c>
      <c r="B15" s="8" t="s">
        <v>404</v>
      </c>
      <c r="C15" s="8" t="n">
        <v>90</v>
      </c>
      <c r="D15" s="8" t="n">
        <v>3.5</v>
      </c>
      <c r="E15" s="8" t="n">
        <v>6</v>
      </c>
      <c r="F15" s="8" t="n">
        <v>5</v>
      </c>
      <c r="G15" s="8" t="n">
        <v>4</v>
      </c>
      <c r="H15" s="8" t="n">
        <v>250</v>
      </c>
    </row>
    <row r="16" customFormat="false" ht="15" hidden="false" customHeight="false" outlineLevel="0" collapsed="false">
      <c r="A16" s="8" t="s">
        <v>406</v>
      </c>
      <c r="B16" s="8" t="s">
        <v>407</v>
      </c>
      <c r="C16" s="8" t="n">
        <v>35</v>
      </c>
      <c r="D16" s="8" t="n">
        <v>2</v>
      </c>
      <c r="E16" s="8" t="n">
        <v>6</v>
      </c>
      <c r="F16" s="8" t="n">
        <v>0.3</v>
      </c>
      <c r="G16" s="8" t="n">
        <v>0</v>
      </c>
      <c r="H16" s="8" t="n">
        <v>300</v>
      </c>
    </row>
    <row r="17" customFormat="false" ht="15" hidden="false" customHeight="false" outlineLevel="0" collapsed="false">
      <c r="A17" s="8" t="s">
        <v>408</v>
      </c>
      <c r="B17" s="8" t="s">
        <v>407</v>
      </c>
      <c r="C17" s="8" t="n">
        <v>80</v>
      </c>
      <c r="D17" s="8" t="n">
        <v>2</v>
      </c>
      <c r="E17" s="8" t="n">
        <v>6</v>
      </c>
      <c r="F17" s="8" t="n">
        <v>5</v>
      </c>
      <c r="G17" s="8" t="n">
        <v>0</v>
      </c>
      <c r="H17" s="8" t="n">
        <v>300</v>
      </c>
    </row>
    <row r="18" customFormat="false" ht="15" hidden="false" customHeight="false" outlineLevel="0" collapsed="false">
      <c r="A18" s="8" t="s">
        <v>409</v>
      </c>
      <c r="B18" s="8" t="s">
        <v>410</v>
      </c>
      <c r="C18" s="8" t="n">
        <v>35</v>
      </c>
      <c r="D18" s="8" t="n">
        <v>0.2</v>
      </c>
      <c r="E18" s="8" t="n">
        <v>1</v>
      </c>
      <c r="F18" s="8" t="n">
        <v>3.5</v>
      </c>
      <c r="G18" s="8" t="n">
        <v>0.5</v>
      </c>
      <c r="H18" s="8" t="n">
        <v>400</v>
      </c>
    </row>
    <row r="19" customFormat="false" ht="15" hidden="false" customHeight="false" outlineLevel="0" collapsed="false">
      <c r="A19" s="8" t="s">
        <v>411</v>
      </c>
      <c r="B19" s="8" t="s">
        <v>407</v>
      </c>
      <c r="C19" s="8" t="n">
        <v>150</v>
      </c>
      <c r="D19" s="8" t="n">
        <v>2</v>
      </c>
      <c r="E19" s="8" t="n">
        <v>24</v>
      </c>
      <c r="F19" s="8" t="n">
        <v>6</v>
      </c>
      <c r="G19" s="8" t="n">
        <v>20</v>
      </c>
      <c r="H19" s="8" t="n">
        <v>30</v>
      </c>
    </row>
    <row r="20" customFormat="false" ht="15" hidden="false" customHeight="false" outlineLevel="0" collapsed="false">
      <c r="A20" s="8" t="s">
        <v>412</v>
      </c>
      <c r="B20" s="8" t="s">
        <v>413</v>
      </c>
      <c r="C20" s="8" t="n">
        <v>250</v>
      </c>
      <c r="D20" s="8" t="n">
        <v>5</v>
      </c>
      <c r="E20" s="8" t="n">
        <v>40</v>
      </c>
      <c r="F20" s="8" t="n">
        <v>8</v>
      </c>
      <c r="G20" s="8" t="n">
        <v>3</v>
      </c>
      <c r="H20" s="8" t="n">
        <v>400</v>
      </c>
    </row>
    <row r="21" customFormat="false" ht="15" hidden="false" customHeight="false" outlineLevel="0" collapsed="false">
      <c r="A21" s="8" t="s">
        <v>414</v>
      </c>
      <c r="B21" s="8" t="s">
        <v>413</v>
      </c>
      <c r="C21" s="8" t="n">
        <v>250</v>
      </c>
      <c r="D21" s="8" t="n">
        <v>6</v>
      </c>
      <c r="E21" s="8" t="n">
        <v>35</v>
      </c>
      <c r="F21" s="8" t="n">
        <v>9</v>
      </c>
      <c r="G21" s="8" t="n">
        <v>2</v>
      </c>
      <c r="H21" s="8" t="n">
        <v>450</v>
      </c>
    </row>
    <row r="22" customFormat="false" ht="15" hidden="false" customHeight="false" outlineLevel="0" collapsed="false">
      <c r="A22" s="8" t="s">
        <v>415</v>
      </c>
      <c r="B22" s="8" t="s">
        <v>416</v>
      </c>
      <c r="C22" s="8" t="n">
        <v>130</v>
      </c>
      <c r="D22" s="8" t="n">
        <v>4</v>
      </c>
      <c r="E22" s="8" t="n">
        <v>26</v>
      </c>
      <c r="F22" s="8" t="n">
        <v>0.5</v>
      </c>
      <c r="G22" s="8" t="n">
        <v>0</v>
      </c>
      <c r="H22" s="8" t="n">
        <v>250</v>
      </c>
    </row>
    <row r="23" customFormat="false" ht="15" hidden="false" customHeight="false" outlineLevel="0" collapsed="false">
      <c r="A23" s="8" t="s">
        <v>417</v>
      </c>
      <c r="B23" s="8" t="s">
        <v>407</v>
      </c>
      <c r="C23" s="8" t="n">
        <v>170</v>
      </c>
      <c r="D23" s="8" t="n">
        <v>4</v>
      </c>
      <c r="E23" s="8" t="n">
        <v>28</v>
      </c>
      <c r="F23" s="8" t="n">
        <v>5</v>
      </c>
      <c r="G23" s="8" t="n">
        <v>0</v>
      </c>
      <c r="H23" s="8" t="n">
        <v>300</v>
      </c>
    </row>
    <row r="24" customFormat="false" ht="15" hidden="false" customHeight="false" outlineLevel="0" collapsed="false">
      <c r="A24" s="8" t="s">
        <v>418</v>
      </c>
      <c r="B24" s="8" t="s">
        <v>393</v>
      </c>
      <c r="C24" s="8" t="n">
        <v>130</v>
      </c>
      <c r="D24" s="8" t="n">
        <v>6</v>
      </c>
      <c r="E24" s="8" t="n">
        <v>18</v>
      </c>
      <c r="F24" s="8" t="n">
        <v>4</v>
      </c>
      <c r="G24" s="8" t="n">
        <v>3</v>
      </c>
      <c r="H24" s="8" t="n">
        <v>500</v>
      </c>
    </row>
    <row r="25" customFormat="false" ht="15" hidden="false" customHeight="false" outlineLevel="0" collapsed="false">
      <c r="A25" s="8" t="s">
        <v>419</v>
      </c>
      <c r="B25" s="8" t="s">
        <v>407</v>
      </c>
      <c r="C25" s="8" t="n">
        <v>300</v>
      </c>
      <c r="D25" s="8" t="n">
        <v>6</v>
      </c>
      <c r="E25" s="8" t="n">
        <v>40</v>
      </c>
      <c r="F25" s="8" t="n">
        <v>13</v>
      </c>
      <c r="G25" s="8" t="n">
        <v>3</v>
      </c>
      <c r="H25" s="8" t="n">
        <v>600</v>
      </c>
    </row>
    <row r="26" customFormat="false" ht="15" hidden="false" customHeight="false" outlineLevel="0" collapsed="false">
      <c r="A26" s="8" t="s">
        <v>420</v>
      </c>
      <c r="B26" s="8" t="s">
        <v>421</v>
      </c>
      <c r="C26" s="8" t="n">
        <v>450</v>
      </c>
      <c r="D26" s="8" t="n">
        <v>10</v>
      </c>
      <c r="E26" s="8" t="n">
        <v>60</v>
      </c>
      <c r="F26" s="8" t="n">
        <v>19</v>
      </c>
      <c r="G26" s="8" t="n">
        <v>8</v>
      </c>
      <c r="H26" s="8" t="n">
        <v>1100</v>
      </c>
    </row>
    <row r="27" customFormat="false" ht="15" hidden="false" customHeight="false" outlineLevel="0" collapsed="false">
      <c r="A27" s="8" t="s">
        <v>422</v>
      </c>
      <c r="B27" s="8" t="s">
        <v>407</v>
      </c>
      <c r="C27" s="8" t="n">
        <v>260</v>
      </c>
      <c r="D27" s="8" t="n">
        <v>4</v>
      </c>
      <c r="E27" s="8" t="n">
        <v>28</v>
      </c>
      <c r="F27" s="8" t="n">
        <v>15</v>
      </c>
      <c r="G27" s="8" t="n">
        <v>1</v>
      </c>
      <c r="H27" s="8" t="n">
        <v>350</v>
      </c>
    </row>
    <row r="28" customFormat="false" ht="15" hidden="false" customHeight="false" outlineLevel="0" collapsed="false">
      <c r="A28" s="8" t="s">
        <v>423</v>
      </c>
      <c r="B28" s="8" t="s">
        <v>424</v>
      </c>
      <c r="C28" s="8" t="n">
        <v>105</v>
      </c>
      <c r="D28" s="8" t="n">
        <v>1.3</v>
      </c>
      <c r="E28" s="8" t="n">
        <v>27</v>
      </c>
      <c r="F28" s="8" t="n">
        <v>0.4</v>
      </c>
      <c r="G28" s="8" t="n">
        <v>14</v>
      </c>
      <c r="H28" s="8" t="n">
        <v>1</v>
      </c>
    </row>
    <row r="29" customFormat="false" ht="15" hidden="false" customHeight="false" outlineLevel="0" collapsed="false">
      <c r="A29" s="8" t="s">
        <v>425</v>
      </c>
      <c r="B29" s="8" t="s">
        <v>424</v>
      </c>
      <c r="C29" s="8" t="n">
        <v>95</v>
      </c>
      <c r="D29" s="8" t="n">
        <v>0.5</v>
      </c>
      <c r="E29" s="8" t="n">
        <v>25</v>
      </c>
      <c r="F29" s="8" t="n">
        <v>0.3</v>
      </c>
      <c r="G29" s="8" t="n">
        <v>19</v>
      </c>
      <c r="H29" s="8" t="n">
        <v>2</v>
      </c>
    </row>
    <row r="30" customFormat="false" ht="15" hidden="false" customHeight="false" outlineLevel="0" collapsed="false">
      <c r="A30" s="8" t="s">
        <v>426</v>
      </c>
      <c r="B30" s="8" t="s">
        <v>427</v>
      </c>
      <c r="C30" s="8" t="n">
        <v>100</v>
      </c>
      <c r="D30" s="8" t="n">
        <v>1.4</v>
      </c>
      <c r="E30" s="8" t="n">
        <v>25</v>
      </c>
      <c r="F30" s="8" t="n">
        <v>0.6</v>
      </c>
      <c r="G30" s="8" t="n">
        <v>23</v>
      </c>
      <c r="H30" s="8" t="n">
        <v>2</v>
      </c>
    </row>
    <row r="31" customFormat="false" ht="15" hidden="false" customHeight="false" outlineLevel="0" collapsed="false">
      <c r="A31" s="8" t="s">
        <v>428</v>
      </c>
      <c r="B31" s="8" t="s">
        <v>424</v>
      </c>
      <c r="C31" s="8" t="n">
        <v>68</v>
      </c>
      <c r="D31" s="8" t="n">
        <v>2.6</v>
      </c>
      <c r="E31" s="8" t="n">
        <v>14</v>
      </c>
      <c r="F31" s="8" t="n">
        <v>1</v>
      </c>
      <c r="G31" s="8" t="n">
        <v>9</v>
      </c>
      <c r="H31" s="8" t="n">
        <v>2</v>
      </c>
    </row>
    <row r="32" customFormat="false" ht="15" hidden="false" customHeight="false" outlineLevel="0" collapsed="false">
      <c r="A32" s="8" t="s">
        <v>429</v>
      </c>
      <c r="B32" s="8" t="s">
        <v>430</v>
      </c>
      <c r="C32" s="8" t="n">
        <v>60</v>
      </c>
      <c r="D32" s="8" t="n">
        <v>0.7</v>
      </c>
      <c r="E32" s="8" t="n">
        <v>15</v>
      </c>
      <c r="F32" s="8" t="n">
        <v>0.4</v>
      </c>
      <c r="G32" s="8" t="n">
        <v>11</v>
      </c>
      <c r="H32" s="8" t="n">
        <v>12</v>
      </c>
    </row>
  </sheetData>
  <autoFilter ref="A1:H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50"/>
  </cols>
  <sheetData>
    <row r="1" customFormat="false" ht="31.5" hidden="false" customHeight="true" outlineLevel="0" collapsed="false">
      <c r="A1" s="7" t="s">
        <v>431</v>
      </c>
      <c r="B1" s="7" t="s">
        <v>432</v>
      </c>
      <c r="C1" s="7" t="s">
        <v>433</v>
      </c>
      <c r="D1" s="7" t="s">
        <v>434</v>
      </c>
      <c r="E1" s="7" t="s">
        <v>435</v>
      </c>
    </row>
    <row r="2" customFormat="false" ht="23.85" hidden="false" customHeight="false" outlineLevel="0" collapsed="false">
      <c r="A2" s="8" t="s">
        <v>436</v>
      </c>
      <c r="B2" s="8" t="s">
        <v>437</v>
      </c>
      <c r="C2" s="11" t="s">
        <v>438</v>
      </c>
      <c r="D2" s="8" t="n">
        <v>2</v>
      </c>
      <c r="E2" s="11" t="s">
        <v>439</v>
      </c>
    </row>
    <row r="3" customFormat="false" ht="15" hidden="false" customHeight="false" outlineLevel="0" collapsed="false">
      <c r="A3" s="8" t="s">
        <v>440</v>
      </c>
      <c r="B3" s="8" t="s">
        <v>441</v>
      </c>
      <c r="C3" s="11" t="s">
        <v>442</v>
      </c>
      <c r="D3" s="8" t="n">
        <v>2</v>
      </c>
      <c r="E3" s="11" t="s">
        <v>443</v>
      </c>
    </row>
    <row r="4" customFormat="false" ht="15" hidden="false" customHeight="false" outlineLevel="0" collapsed="false">
      <c r="A4" s="8" t="s">
        <v>444</v>
      </c>
      <c r="B4" s="8" t="s">
        <v>445</v>
      </c>
      <c r="C4" s="8" t="s">
        <v>446</v>
      </c>
      <c r="D4" s="8" t="n">
        <v>2</v>
      </c>
      <c r="E4" s="8" t="s">
        <v>447</v>
      </c>
    </row>
    <row r="5" customFormat="false" ht="15" hidden="false" customHeight="false" outlineLevel="0" collapsed="false">
      <c r="A5" s="8" t="s">
        <v>448</v>
      </c>
      <c r="B5" s="8" t="s">
        <v>449</v>
      </c>
      <c r="C5" s="11" t="s">
        <v>450</v>
      </c>
      <c r="D5" s="8" t="n">
        <v>1</v>
      </c>
      <c r="E5" s="8"/>
    </row>
    <row r="6" customFormat="false" ht="23.85" hidden="false" customHeight="false" outlineLevel="0" collapsed="false">
      <c r="A6" s="8" t="s">
        <v>451</v>
      </c>
      <c r="B6" s="8" t="s">
        <v>452</v>
      </c>
      <c r="C6" s="11" t="s">
        <v>453</v>
      </c>
      <c r="D6" s="8" t="n">
        <v>1</v>
      </c>
      <c r="E6" s="8"/>
    </row>
    <row r="7" customFormat="false" ht="23.85" hidden="false" customHeight="false" outlineLevel="0" collapsed="false">
      <c r="A7" s="8" t="s">
        <v>454</v>
      </c>
      <c r="B7" s="8" t="s">
        <v>455</v>
      </c>
      <c r="C7" s="11" t="s">
        <v>456</v>
      </c>
      <c r="D7" s="8" t="n">
        <v>1</v>
      </c>
      <c r="E7" s="8"/>
    </row>
    <row r="8" customFormat="false" ht="23.85" hidden="false" customHeight="false" outlineLevel="0" collapsed="false">
      <c r="A8" s="8" t="s">
        <v>457</v>
      </c>
      <c r="B8" s="8" t="s">
        <v>458</v>
      </c>
      <c r="C8" s="11" t="s">
        <v>459</v>
      </c>
      <c r="D8" s="8" t="n">
        <v>1</v>
      </c>
      <c r="E8" s="8"/>
    </row>
    <row r="9" customFormat="false" ht="15" hidden="false" customHeight="false" outlineLevel="0" collapsed="false">
      <c r="A9" s="8" t="s">
        <v>460</v>
      </c>
      <c r="B9" s="8" t="s">
        <v>461</v>
      </c>
      <c r="C9" s="11" t="s">
        <v>462</v>
      </c>
      <c r="D9" s="8" t="n">
        <v>2</v>
      </c>
      <c r="E9" s="8"/>
    </row>
    <row r="10" customFormat="false" ht="15" hidden="false" customHeight="false" outlineLevel="0" collapsed="false">
      <c r="A10" s="8" t="s">
        <v>463</v>
      </c>
      <c r="B10" s="8" t="s">
        <v>464</v>
      </c>
      <c r="C10" s="11" t="s">
        <v>465</v>
      </c>
      <c r="D10" s="8" t="n">
        <v>2</v>
      </c>
      <c r="E10" s="8"/>
    </row>
    <row r="11" customFormat="false" ht="15" hidden="false" customHeight="false" outlineLevel="0" collapsed="false">
      <c r="A11" s="8" t="s">
        <v>466</v>
      </c>
      <c r="B11" s="8" t="s">
        <v>467</v>
      </c>
      <c r="C11" s="11" t="s">
        <v>468</v>
      </c>
      <c r="D11" s="8" t="n">
        <v>3</v>
      </c>
      <c r="E11" s="8"/>
    </row>
    <row r="12" customFormat="false" ht="15" hidden="false" customHeight="false" outlineLevel="0" collapsed="false">
      <c r="A12" s="8" t="s">
        <v>469</v>
      </c>
      <c r="B12" s="8" t="s">
        <v>470</v>
      </c>
      <c r="C12" s="11" t="s">
        <v>471</v>
      </c>
      <c r="D12" s="8" t="n">
        <v>3</v>
      </c>
      <c r="E12" s="8"/>
    </row>
    <row r="13" customFormat="false" ht="15" hidden="false" customHeight="false" outlineLevel="0" collapsed="false">
      <c r="A13" s="8" t="s">
        <v>472</v>
      </c>
      <c r="B13" s="8" t="s">
        <v>473</v>
      </c>
      <c r="C13" s="11" t="s">
        <v>474</v>
      </c>
      <c r="D13" s="8" t="n">
        <v>0</v>
      </c>
      <c r="E13" s="8"/>
    </row>
    <row r="14" customFormat="false" ht="15" hidden="false" customHeight="false" outlineLevel="0" collapsed="false">
      <c r="A14" s="8" t="s">
        <v>475</v>
      </c>
      <c r="B14" s="8" t="s">
        <v>476</v>
      </c>
      <c r="C14" s="11" t="s">
        <v>477</v>
      </c>
      <c r="D14" s="8" t="n">
        <v>0</v>
      </c>
      <c r="E14" s="8"/>
    </row>
    <row r="15" customFormat="false" ht="15" hidden="false" customHeight="false" outlineLevel="0" collapsed="false">
      <c r="A15" s="8" t="s">
        <v>478</v>
      </c>
      <c r="B15" s="8" t="s">
        <v>479</v>
      </c>
      <c r="C15" s="11" t="s">
        <v>480</v>
      </c>
      <c r="D15" s="8" t="n">
        <v>2</v>
      </c>
      <c r="E15" s="8"/>
    </row>
    <row r="16" customFormat="false" ht="15" hidden="false" customHeight="false" outlineLevel="0" collapsed="false">
      <c r="A16" s="8" t="s">
        <v>481</v>
      </c>
      <c r="B16" s="8" t="s">
        <v>482</v>
      </c>
      <c r="C16" s="11" t="s">
        <v>483</v>
      </c>
      <c r="D16" s="8" t="n">
        <v>0</v>
      </c>
      <c r="E16" s="8"/>
    </row>
    <row r="17" customFormat="false" ht="15" hidden="false" customHeight="false" outlineLevel="0" collapsed="false">
      <c r="A17" s="8" t="s">
        <v>484</v>
      </c>
      <c r="B17" s="8" t="s">
        <v>485</v>
      </c>
      <c r="C17" s="11" t="s">
        <v>486</v>
      </c>
      <c r="D17" s="8" t="n">
        <v>0</v>
      </c>
      <c r="E17" s="8"/>
    </row>
    <row r="18" customFormat="false" ht="15" hidden="false" customHeight="false" outlineLevel="0" collapsed="false">
      <c r="A18" s="8" t="s">
        <v>487</v>
      </c>
      <c r="B18" s="8" t="s">
        <v>488</v>
      </c>
      <c r="C18" s="11" t="s">
        <v>489</v>
      </c>
      <c r="D18" s="8" t="n">
        <v>1</v>
      </c>
      <c r="E18" s="8"/>
    </row>
    <row r="19" customFormat="false" ht="15" hidden="false" customHeight="false" outlineLevel="0" collapsed="false">
      <c r="A19" s="8" t="s">
        <v>490</v>
      </c>
      <c r="B19" s="8" t="s">
        <v>491</v>
      </c>
      <c r="C19" s="11" t="s">
        <v>492</v>
      </c>
      <c r="D19" s="8" t="n">
        <v>0</v>
      </c>
      <c r="E19" s="8"/>
    </row>
    <row r="20" customFormat="false" ht="15" hidden="false" customHeight="false" outlineLevel="0" collapsed="false">
      <c r="A20" s="8" t="s">
        <v>493</v>
      </c>
      <c r="B20" s="8" t="s">
        <v>494</v>
      </c>
      <c r="C20" s="11" t="s">
        <v>495</v>
      </c>
      <c r="D20" s="8" t="n">
        <v>2</v>
      </c>
      <c r="E20" s="8"/>
    </row>
    <row r="21" customFormat="false" ht="15" hidden="false" customHeight="false" outlineLevel="0" collapsed="false">
      <c r="A21" s="8" t="s">
        <v>496</v>
      </c>
      <c r="B21" s="8" t="s">
        <v>497</v>
      </c>
      <c r="C21" s="8" t="s">
        <v>498</v>
      </c>
      <c r="D21" s="8" t="n">
        <v>0</v>
      </c>
      <c r="E21" s="8"/>
    </row>
    <row r="22" customFormat="false" ht="15" hidden="false" customHeight="false" outlineLevel="0" collapsed="false">
      <c r="A22" s="8" t="s">
        <v>499</v>
      </c>
      <c r="B22" s="8" t="s">
        <v>500</v>
      </c>
      <c r="C22" s="8" t="s">
        <v>501</v>
      </c>
      <c r="D22" s="8" t="n">
        <v>0</v>
      </c>
      <c r="E22" s="8"/>
    </row>
    <row r="23" customFormat="false" ht="15" hidden="false" customHeight="false" outlineLevel="0" collapsed="false">
      <c r="A23" s="8" t="s">
        <v>502</v>
      </c>
      <c r="B23" s="8" t="s">
        <v>503</v>
      </c>
      <c r="C23" s="8" t="s">
        <v>504</v>
      </c>
      <c r="D23" s="8" t="n">
        <v>1</v>
      </c>
      <c r="E23" s="8"/>
    </row>
    <row r="24" customFormat="false" ht="23.85" hidden="false" customHeight="false" outlineLevel="0" collapsed="false">
      <c r="A24" s="8" t="s">
        <v>36</v>
      </c>
      <c r="B24" s="8" t="s">
        <v>505</v>
      </c>
      <c r="C24" s="11" t="s">
        <v>506</v>
      </c>
      <c r="D24" s="8" t="n">
        <v>3</v>
      </c>
      <c r="E24" s="8"/>
    </row>
    <row r="25" customFormat="false" ht="35.05" hidden="false" customHeight="false" outlineLevel="0" collapsed="false">
      <c r="A25" s="8" t="s">
        <v>507</v>
      </c>
      <c r="B25" s="11" t="s">
        <v>508</v>
      </c>
      <c r="C25" s="8" t="s">
        <v>509</v>
      </c>
      <c r="D25" s="8" t="n">
        <v>1</v>
      </c>
      <c r="E25" s="8"/>
    </row>
    <row r="26" customFormat="false" ht="35.05" hidden="false" customHeight="false" outlineLevel="0" collapsed="false">
      <c r="A26" s="8" t="s">
        <v>510</v>
      </c>
      <c r="B26" s="11" t="s">
        <v>511</v>
      </c>
      <c r="C26" s="11" t="s">
        <v>512</v>
      </c>
      <c r="D26" s="8" t="n">
        <v>2</v>
      </c>
      <c r="E26" s="8"/>
    </row>
  </sheetData>
  <autoFilter ref="A1:E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36"/>
    <col collapsed="false" customWidth="true" hidden="false" outlineLevel="0" max="5" min="5" style="0" width="70"/>
  </cols>
  <sheetData>
    <row r="1" customFormat="false" ht="31.5" hidden="false" customHeight="true" outlineLevel="0" collapsed="false">
      <c r="A1" s="7" t="s">
        <v>513</v>
      </c>
      <c r="B1" s="7" t="s">
        <v>514</v>
      </c>
      <c r="C1" s="7" t="s">
        <v>515</v>
      </c>
      <c r="D1" s="7" t="s">
        <v>516</v>
      </c>
      <c r="E1" s="7" t="s">
        <v>517</v>
      </c>
    </row>
    <row r="2" customFormat="false" ht="15" hidden="false" customHeight="false" outlineLevel="0" collapsed="false">
      <c r="A2" s="8" t="s">
        <v>518</v>
      </c>
      <c r="B2" s="8" t="s">
        <v>519</v>
      </c>
      <c r="C2" s="8" t="s">
        <v>520</v>
      </c>
      <c r="D2" s="8" t="s">
        <v>521</v>
      </c>
      <c r="E2" s="11" t="s">
        <v>522</v>
      </c>
    </row>
    <row r="3" customFormat="false" ht="23.85" hidden="false" customHeight="false" outlineLevel="0" collapsed="false">
      <c r="A3" s="8" t="s">
        <v>518</v>
      </c>
      <c r="B3" s="8" t="s">
        <v>523</v>
      </c>
      <c r="C3" s="8" t="s">
        <v>524</v>
      </c>
      <c r="D3" s="8" t="s">
        <v>525</v>
      </c>
      <c r="E3" s="11" t="s">
        <v>526</v>
      </c>
    </row>
    <row r="4" customFormat="false" ht="15" hidden="false" customHeight="false" outlineLevel="0" collapsed="false">
      <c r="A4" s="8" t="s">
        <v>518</v>
      </c>
      <c r="B4" s="8" t="s">
        <v>519</v>
      </c>
      <c r="C4" s="8" t="s">
        <v>527</v>
      </c>
      <c r="D4" s="8" t="s">
        <v>528</v>
      </c>
      <c r="E4" s="11" t="s">
        <v>529</v>
      </c>
    </row>
    <row r="5" customFormat="false" ht="15" hidden="false" customHeight="false" outlineLevel="0" collapsed="false">
      <c r="A5" s="8" t="s">
        <v>518</v>
      </c>
      <c r="B5" s="8" t="s">
        <v>519</v>
      </c>
      <c r="C5" s="8" t="s">
        <v>530</v>
      </c>
      <c r="D5" s="8" t="s">
        <v>531</v>
      </c>
      <c r="E5" s="11" t="s">
        <v>532</v>
      </c>
    </row>
    <row r="6" customFormat="false" ht="23.85" hidden="false" customHeight="false" outlineLevel="0" collapsed="false">
      <c r="A6" s="8" t="s">
        <v>518</v>
      </c>
      <c r="B6" s="8" t="s">
        <v>533</v>
      </c>
      <c r="C6" s="8" t="s">
        <v>534</v>
      </c>
      <c r="D6" s="8" t="s">
        <v>535</v>
      </c>
      <c r="E6" s="11" t="s">
        <v>536</v>
      </c>
    </row>
    <row r="7" customFormat="false" ht="15" hidden="false" customHeight="false" outlineLevel="0" collapsed="false">
      <c r="A7" s="8" t="s">
        <v>518</v>
      </c>
      <c r="B7" s="8" t="s">
        <v>519</v>
      </c>
      <c r="C7" s="8" t="s">
        <v>537</v>
      </c>
      <c r="D7" s="8" t="s">
        <v>538</v>
      </c>
      <c r="E7" s="11" t="s">
        <v>539</v>
      </c>
    </row>
    <row r="8" customFormat="false" ht="15" hidden="false" customHeight="false" outlineLevel="0" collapsed="false">
      <c r="A8" s="8" t="s">
        <v>518</v>
      </c>
      <c r="B8" s="8" t="s">
        <v>519</v>
      </c>
      <c r="C8" s="8" t="s">
        <v>540</v>
      </c>
      <c r="D8" s="8" t="s">
        <v>541</v>
      </c>
      <c r="E8" s="11" t="s">
        <v>542</v>
      </c>
    </row>
    <row r="9" customFormat="false" ht="15" hidden="false" customHeight="false" outlineLevel="0" collapsed="false">
      <c r="A9" s="8" t="s">
        <v>518</v>
      </c>
      <c r="B9" s="8" t="s">
        <v>523</v>
      </c>
      <c r="C9" s="8" t="s">
        <v>543</v>
      </c>
      <c r="D9" s="8" t="s">
        <v>544</v>
      </c>
      <c r="E9" s="11" t="s">
        <v>545</v>
      </c>
    </row>
    <row r="10" customFormat="false" ht="15" hidden="false" customHeight="false" outlineLevel="0" collapsed="false">
      <c r="A10" s="8" t="s">
        <v>518</v>
      </c>
      <c r="B10" s="8" t="s">
        <v>519</v>
      </c>
      <c r="C10" s="8" t="s">
        <v>546</v>
      </c>
      <c r="D10" s="8" t="s">
        <v>547</v>
      </c>
      <c r="E10" s="11" t="s">
        <v>548</v>
      </c>
    </row>
    <row r="11" customFormat="false" ht="15" hidden="false" customHeight="false" outlineLevel="0" collapsed="false">
      <c r="A11" s="8" t="s">
        <v>518</v>
      </c>
      <c r="B11" s="8" t="s">
        <v>519</v>
      </c>
      <c r="C11" s="8" t="s">
        <v>549</v>
      </c>
      <c r="D11" s="8" t="s">
        <v>550</v>
      </c>
      <c r="E11" s="11" t="s">
        <v>551</v>
      </c>
    </row>
    <row r="12" customFormat="false" ht="15" hidden="false" customHeight="false" outlineLevel="0" collapsed="false">
      <c r="A12" s="8" t="s">
        <v>518</v>
      </c>
      <c r="B12" s="8" t="s">
        <v>519</v>
      </c>
      <c r="C12" s="8" t="s">
        <v>552</v>
      </c>
      <c r="D12" s="8" t="s">
        <v>553</v>
      </c>
      <c r="E12" s="11" t="s">
        <v>554</v>
      </c>
    </row>
    <row r="13" customFormat="false" ht="15" hidden="false" customHeight="false" outlineLevel="0" collapsed="false">
      <c r="A13" s="8" t="s">
        <v>518</v>
      </c>
      <c r="B13" s="8" t="s">
        <v>523</v>
      </c>
      <c r="C13" s="8" t="s">
        <v>555</v>
      </c>
      <c r="D13" s="8" t="s">
        <v>556</v>
      </c>
      <c r="E13" s="11" t="s">
        <v>557</v>
      </c>
    </row>
    <row r="14" customFormat="false" ht="15" hidden="false" customHeight="false" outlineLevel="0" collapsed="false">
      <c r="A14" s="8" t="s">
        <v>518</v>
      </c>
      <c r="B14" s="8" t="s">
        <v>519</v>
      </c>
      <c r="C14" s="8" t="s">
        <v>422</v>
      </c>
      <c r="D14" s="8" t="s">
        <v>558</v>
      </c>
      <c r="E14" s="11" t="s">
        <v>559</v>
      </c>
    </row>
    <row r="15" customFormat="false" ht="15" hidden="false" customHeight="false" outlineLevel="0" collapsed="false">
      <c r="A15" s="8" t="s">
        <v>518</v>
      </c>
      <c r="B15" s="8" t="s">
        <v>519</v>
      </c>
      <c r="C15" s="8" t="s">
        <v>419</v>
      </c>
      <c r="D15" s="8" t="s">
        <v>560</v>
      </c>
      <c r="E15" s="11" t="s">
        <v>561</v>
      </c>
    </row>
    <row r="16" customFormat="false" ht="15" hidden="false" customHeight="false" outlineLevel="0" collapsed="false">
      <c r="A16" s="8" t="s">
        <v>562</v>
      </c>
      <c r="B16" s="8" t="s">
        <v>519</v>
      </c>
      <c r="C16" s="8" t="s">
        <v>563</v>
      </c>
      <c r="D16" s="8" t="s">
        <v>564</v>
      </c>
      <c r="E16" s="11" t="s">
        <v>565</v>
      </c>
    </row>
    <row r="17" customFormat="false" ht="15" hidden="false" customHeight="false" outlineLevel="0" collapsed="false">
      <c r="A17" s="8" t="s">
        <v>562</v>
      </c>
      <c r="B17" s="8" t="s">
        <v>533</v>
      </c>
      <c r="C17" s="8" t="s">
        <v>566</v>
      </c>
      <c r="D17" s="8" t="s">
        <v>567</v>
      </c>
      <c r="E17" s="11" t="s">
        <v>568</v>
      </c>
    </row>
    <row r="18" customFormat="false" ht="15" hidden="false" customHeight="false" outlineLevel="0" collapsed="false">
      <c r="A18" s="8" t="s">
        <v>562</v>
      </c>
      <c r="B18" s="8" t="s">
        <v>519</v>
      </c>
      <c r="C18" s="8" t="s">
        <v>569</v>
      </c>
      <c r="D18" s="8" t="s">
        <v>570</v>
      </c>
      <c r="E18" s="11" t="s">
        <v>571</v>
      </c>
    </row>
    <row r="19" customFormat="false" ht="15" hidden="false" customHeight="false" outlineLevel="0" collapsed="false">
      <c r="A19" s="8" t="s">
        <v>562</v>
      </c>
      <c r="B19" s="8" t="s">
        <v>519</v>
      </c>
      <c r="C19" s="8" t="s">
        <v>398</v>
      </c>
      <c r="D19" s="8" t="s">
        <v>399</v>
      </c>
      <c r="E19" s="11" t="s">
        <v>572</v>
      </c>
    </row>
    <row r="20" customFormat="false" ht="23.85" hidden="false" customHeight="false" outlineLevel="0" collapsed="false">
      <c r="A20" s="8" t="s">
        <v>562</v>
      </c>
      <c r="B20" s="8" t="s">
        <v>523</v>
      </c>
      <c r="C20" s="8" t="s">
        <v>573</v>
      </c>
      <c r="D20" s="8" t="s">
        <v>574</v>
      </c>
      <c r="E20" s="11" t="s">
        <v>575</v>
      </c>
    </row>
    <row r="21" customFormat="false" ht="23.85" hidden="false" customHeight="false" outlineLevel="0" collapsed="false">
      <c r="A21" s="8" t="s">
        <v>562</v>
      </c>
      <c r="B21" s="8" t="s">
        <v>519</v>
      </c>
      <c r="C21" s="8" t="s">
        <v>576</v>
      </c>
      <c r="D21" s="8" t="s">
        <v>577</v>
      </c>
      <c r="E21" s="11" t="s">
        <v>578</v>
      </c>
    </row>
    <row r="22" customFormat="false" ht="23.85" hidden="false" customHeight="false" outlineLevel="0" collapsed="false">
      <c r="A22" s="8" t="s">
        <v>562</v>
      </c>
      <c r="B22" s="8" t="s">
        <v>519</v>
      </c>
      <c r="C22" s="8" t="s">
        <v>579</v>
      </c>
      <c r="D22" s="8" t="s">
        <v>580</v>
      </c>
      <c r="E22" s="11" t="s">
        <v>581</v>
      </c>
    </row>
    <row r="23" customFormat="false" ht="15" hidden="false" customHeight="false" outlineLevel="0" collapsed="false">
      <c r="A23" s="8" t="s">
        <v>562</v>
      </c>
      <c r="B23" s="8" t="s">
        <v>533</v>
      </c>
      <c r="C23" s="8" t="s">
        <v>582</v>
      </c>
      <c r="D23" s="8" t="s">
        <v>583</v>
      </c>
      <c r="E23" s="11" t="s">
        <v>584</v>
      </c>
    </row>
    <row r="24" customFormat="false" ht="15" hidden="false" customHeight="false" outlineLevel="0" collapsed="false">
      <c r="A24" s="8" t="s">
        <v>562</v>
      </c>
      <c r="B24" s="8" t="s">
        <v>519</v>
      </c>
      <c r="C24" s="8" t="s">
        <v>585</v>
      </c>
      <c r="D24" s="8" t="s">
        <v>586</v>
      </c>
      <c r="E24" s="11" t="s">
        <v>587</v>
      </c>
    </row>
    <row r="25" customFormat="false" ht="15" hidden="false" customHeight="false" outlineLevel="0" collapsed="false">
      <c r="A25" s="8" t="s">
        <v>562</v>
      </c>
      <c r="B25" s="8" t="s">
        <v>519</v>
      </c>
      <c r="C25" s="8" t="s">
        <v>588</v>
      </c>
      <c r="D25" s="8" t="s">
        <v>589</v>
      </c>
      <c r="E25" s="11" t="s">
        <v>590</v>
      </c>
    </row>
    <row r="26" customFormat="false" ht="15" hidden="false" customHeight="false" outlineLevel="0" collapsed="false">
      <c r="A26" s="8" t="s">
        <v>562</v>
      </c>
      <c r="B26" s="8" t="s">
        <v>533</v>
      </c>
      <c r="C26" s="8" t="s">
        <v>591</v>
      </c>
      <c r="D26" s="8" t="s">
        <v>592</v>
      </c>
      <c r="E26" s="11" t="s">
        <v>593</v>
      </c>
    </row>
    <row r="27" customFormat="false" ht="15" hidden="false" customHeight="false" outlineLevel="0" collapsed="false">
      <c r="A27" s="8" t="s">
        <v>562</v>
      </c>
      <c r="B27" s="8" t="s">
        <v>519</v>
      </c>
      <c r="C27" s="8" t="s">
        <v>594</v>
      </c>
      <c r="D27" s="8" t="s">
        <v>595</v>
      </c>
      <c r="E27" s="11" t="s">
        <v>596</v>
      </c>
    </row>
    <row r="28" customFormat="false" ht="15" hidden="false" customHeight="false" outlineLevel="0" collapsed="false">
      <c r="A28" s="8" t="s">
        <v>562</v>
      </c>
      <c r="B28" s="8" t="s">
        <v>519</v>
      </c>
      <c r="C28" s="8" t="s">
        <v>597</v>
      </c>
      <c r="D28" s="8" t="s">
        <v>598</v>
      </c>
      <c r="E28" s="11" t="s">
        <v>599</v>
      </c>
    </row>
    <row r="29" customFormat="false" ht="15" hidden="false" customHeight="false" outlineLevel="0" collapsed="false">
      <c r="A29" s="8" t="s">
        <v>600</v>
      </c>
      <c r="B29" s="8" t="s">
        <v>519</v>
      </c>
      <c r="C29" s="8" t="s">
        <v>601</v>
      </c>
      <c r="D29" s="8" t="s">
        <v>602</v>
      </c>
      <c r="E29" s="11" t="s">
        <v>603</v>
      </c>
    </row>
    <row r="30" customFormat="false" ht="15" hidden="false" customHeight="false" outlineLevel="0" collapsed="false">
      <c r="A30" s="8" t="s">
        <v>600</v>
      </c>
      <c r="B30" s="8" t="s">
        <v>533</v>
      </c>
      <c r="C30" s="8" t="s">
        <v>604</v>
      </c>
      <c r="D30" s="8" t="s">
        <v>605</v>
      </c>
      <c r="E30" s="11" t="s">
        <v>606</v>
      </c>
    </row>
    <row r="31" customFormat="false" ht="15" hidden="false" customHeight="false" outlineLevel="0" collapsed="false">
      <c r="A31" s="8" t="s">
        <v>600</v>
      </c>
      <c r="B31" s="8" t="s">
        <v>519</v>
      </c>
      <c r="C31" s="8" t="s">
        <v>607</v>
      </c>
      <c r="D31" s="8" t="s">
        <v>608</v>
      </c>
      <c r="E31" s="11" t="s">
        <v>609</v>
      </c>
    </row>
    <row r="32" customFormat="false" ht="23.85" hidden="false" customHeight="false" outlineLevel="0" collapsed="false">
      <c r="A32" s="8" t="s">
        <v>600</v>
      </c>
      <c r="B32" s="8" t="s">
        <v>519</v>
      </c>
      <c r="C32" s="8" t="s">
        <v>610</v>
      </c>
      <c r="D32" s="8" t="s">
        <v>611</v>
      </c>
      <c r="E32" s="11" t="s">
        <v>612</v>
      </c>
    </row>
    <row r="33" customFormat="false" ht="15" hidden="false" customHeight="false" outlineLevel="0" collapsed="false">
      <c r="A33" s="8" t="s">
        <v>600</v>
      </c>
      <c r="B33" s="8" t="s">
        <v>523</v>
      </c>
      <c r="C33" s="8" t="s">
        <v>613</v>
      </c>
      <c r="D33" s="8" t="s">
        <v>574</v>
      </c>
      <c r="E33" s="11" t="s">
        <v>614</v>
      </c>
    </row>
    <row r="34" customFormat="false" ht="15" hidden="false" customHeight="false" outlineLevel="0" collapsed="false">
      <c r="A34" s="8" t="s">
        <v>600</v>
      </c>
      <c r="B34" s="8" t="s">
        <v>519</v>
      </c>
      <c r="C34" s="8" t="s">
        <v>615</v>
      </c>
      <c r="D34" s="8" t="s">
        <v>616</v>
      </c>
      <c r="E34" s="11" t="s">
        <v>617</v>
      </c>
    </row>
    <row r="35" customFormat="false" ht="15" hidden="false" customHeight="false" outlineLevel="0" collapsed="false">
      <c r="A35" s="8" t="s">
        <v>600</v>
      </c>
      <c r="B35" s="8" t="s">
        <v>519</v>
      </c>
      <c r="C35" s="8" t="s">
        <v>618</v>
      </c>
      <c r="D35" s="8" t="s">
        <v>619</v>
      </c>
      <c r="E35" s="11" t="s">
        <v>620</v>
      </c>
    </row>
    <row r="36" customFormat="false" ht="15" hidden="false" customHeight="false" outlineLevel="0" collapsed="false">
      <c r="A36" s="8" t="s">
        <v>600</v>
      </c>
      <c r="B36" s="8" t="s">
        <v>533</v>
      </c>
      <c r="C36" s="8" t="s">
        <v>621</v>
      </c>
      <c r="D36" s="8" t="s">
        <v>622</v>
      </c>
      <c r="E36" s="11" t="s">
        <v>623</v>
      </c>
    </row>
    <row r="37" customFormat="false" ht="15" hidden="false" customHeight="false" outlineLevel="0" collapsed="false">
      <c r="A37" s="8" t="s">
        <v>600</v>
      </c>
      <c r="B37" s="8" t="s">
        <v>519</v>
      </c>
      <c r="C37" s="8" t="s">
        <v>624</v>
      </c>
      <c r="D37" s="8" t="s">
        <v>625</v>
      </c>
      <c r="E37" s="11" t="s">
        <v>626</v>
      </c>
    </row>
    <row r="38" customFormat="false" ht="15" hidden="false" customHeight="false" outlineLevel="0" collapsed="false">
      <c r="A38" s="8" t="s">
        <v>600</v>
      </c>
      <c r="B38" s="8" t="s">
        <v>519</v>
      </c>
      <c r="C38" s="8" t="s">
        <v>627</v>
      </c>
      <c r="D38" s="8" t="s">
        <v>628</v>
      </c>
      <c r="E38" s="11" t="s">
        <v>629</v>
      </c>
    </row>
    <row r="39" customFormat="false" ht="15" hidden="false" customHeight="false" outlineLevel="0" collapsed="false">
      <c r="A39" s="8" t="s">
        <v>600</v>
      </c>
      <c r="B39" s="8" t="s">
        <v>533</v>
      </c>
      <c r="C39" s="8" t="s">
        <v>630</v>
      </c>
      <c r="D39" s="8" t="s">
        <v>631</v>
      </c>
      <c r="E39" s="11" t="s">
        <v>632</v>
      </c>
    </row>
    <row r="40" customFormat="false" ht="15" hidden="false" customHeight="false" outlineLevel="0" collapsed="false">
      <c r="A40" s="8" t="s">
        <v>600</v>
      </c>
      <c r="B40" s="8" t="s">
        <v>519</v>
      </c>
      <c r="C40" s="8" t="s">
        <v>633</v>
      </c>
      <c r="D40" s="8" t="s">
        <v>634</v>
      </c>
      <c r="E40" s="11" t="s">
        <v>635</v>
      </c>
    </row>
    <row r="41" customFormat="false" ht="15" hidden="false" customHeight="false" outlineLevel="0" collapsed="false">
      <c r="A41" s="8" t="s">
        <v>600</v>
      </c>
      <c r="B41" s="8" t="s">
        <v>519</v>
      </c>
      <c r="C41" s="8" t="s">
        <v>636</v>
      </c>
      <c r="D41" s="8" t="s">
        <v>637</v>
      </c>
      <c r="E41" s="11" t="s">
        <v>638</v>
      </c>
    </row>
    <row r="42" customFormat="false" ht="15" hidden="false" customHeight="false" outlineLevel="0" collapsed="false">
      <c r="A42" s="8" t="s">
        <v>600</v>
      </c>
      <c r="B42" s="8" t="s">
        <v>533</v>
      </c>
      <c r="C42" s="8" t="s">
        <v>639</v>
      </c>
      <c r="D42" s="8" t="s">
        <v>640</v>
      </c>
      <c r="E42" s="11" t="s">
        <v>641</v>
      </c>
    </row>
    <row r="43" customFormat="false" ht="15" hidden="false" customHeight="false" outlineLevel="0" collapsed="false">
      <c r="A43" s="8" t="s">
        <v>600</v>
      </c>
      <c r="B43" s="8" t="s">
        <v>519</v>
      </c>
      <c r="C43" s="8" t="s">
        <v>642</v>
      </c>
      <c r="D43" s="8" t="s">
        <v>643</v>
      </c>
      <c r="E43" s="11" t="s">
        <v>644</v>
      </c>
    </row>
  </sheetData>
  <autoFilter ref="A1:E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70"/>
  </cols>
  <sheetData>
    <row r="1" customFormat="false" ht="31.5" hidden="false" customHeight="true" outlineLevel="0" collapsed="false">
      <c r="A1" s="7" t="s">
        <v>645</v>
      </c>
      <c r="B1" s="7" t="s">
        <v>515</v>
      </c>
      <c r="C1" s="7" t="s">
        <v>516</v>
      </c>
      <c r="D1" s="7" t="s">
        <v>517</v>
      </c>
    </row>
    <row r="2" customFormat="false" ht="15" hidden="false" customHeight="false" outlineLevel="0" collapsed="false">
      <c r="A2" s="8" t="s">
        <v>646</v>
      </c>
      <c r="B2" s="8" t="s">
        <v>647</v>
      </c>
      <c r="C2" s="8" t="s">
        <v>648</v>
      </c>
      <c r="D2" s="11" t="s">
        <v>649</v>
      </c>
    </row>
    <row r="3" customFormat="false" ht="15" hidden="false" customHeight="false" outlineLevel="0" collapsed="false">
      <c r="A3" s="8" t="s">
        <v>646</v>
      </c>
      <c r="B3" s="8" t="s">
        <v>650</v>
      </c>
      <c r="C3" s="8" t="s">
        <v>651</v>
      </c>
      <c r="D3" s="11" t="s">
        <v>652</v>
      </c>
    </row>
    <row r="4" customFormat="false" ht="15" hidden="false" customHeight="false" outlineLevel="0" collapsed="false">
      <c r="A4" s="8" t="s">
        <v>646</v>
      </c>
      <c r="B4" s="8" t="s">
        <v>653</v>
      </c>
      <c r="C4" s="8" t="s">
        <v>654</v>
      </c>
      <c r="D4" s="11" t="s">
        <v>655</v>
      </c>
    </row>
    <row r="5" customFormat="false" ht="15" hidden="false" customHeight="false" outlineLevel="0" collapsed="false">
      <c r="A5" s="8" t="s">
        <v>646</v>
      </c>
      <c r="B5" s="8" t="s">
        <v>422</v>
      </c>
      <c r="C5" s="8" t="s">
        <v>558</v>
      </c>
      <c r="D5" s="11" t="s">
        <v>656</v>
      </c>
    </row>
    <row r="6" customFormat="false" ht="15" hidden="false" customHeight="false" outlineLevel="0" collapsed="false">
      <c r="A6" s="8" t="s">
        <v>646</v>
      </c>
      <c r="B6" s="8" t="s">
        <v>657</v>
      </c>
      <c r="C6" s="8" t="s">
        <v>658</v>
      </c>
      <c r="D6" s="11" t="s">
        <v>659</v>
      </c>
    </row>
    <row r="7" customFormat="false" ht="15" hidden="false" customHeight="false" outlineLevel="0" collapsed="false">
      <c r="A7" s="8" t="s">
        <v>646</v>
      </c>
      <c r="B7" s="8" t="s">
        <v>660</v>
      </c>
      <c r="C7" s="8" t="s">
        <v>661</v>
      </c>
      <c r="D7" s="11" t="s">
        <v>662</v>
      </c>
    </row>
    <row r="8" customFormat="false" ht="23.85" hidden="false" customHeight="false" outlineLevel="0" collapsed="false">
      <c r="A8" s="8" t="s">
        <v>663</v>
      </c>
      <c r="B8" s="8" t="s">
        <v>411</v>
      </c>
      <c r="C8" s="8" t="s">
        <v>664</v>
      </c>
      <c r="D8" s="11" t="s">
        <v>665</v>
      </c>
    </row>
    <row r="9" customFormat="false" ht="15" hidden="false" customHeight="false" outlineLevel="0" collapsed="false">
      <c r="A9" s="8" t="s">
        <v>663</v>
      </c>
      <c r="B9" s="8" t="s">
        <v>666</v>
      </c>
      <c r="C9" s="8" t="s">
        <v>667</v>
      </c>
      <c r="D9" s="11" t="s">
        <v>668</v>
      </c>
    </row>
    <row r="10" customFormat="false" ht="15" hidden="false" customHeight="false" outlineLevel="0" collapsed="false">
      <c r="A10" s="8" t="s">
        <v>663</v>
      </c>
      <c r="B10" s="8" t="s">
        <v>669</v>
      </c>
      <c r="C10" s="8" t="s">
        <v>670</v>
      </c>
      <c r="D10" s="11" t="s">
        <v>671</v>
      </c>
    </row>
    <row r="11" customFormat="false" ht="15" hidden="false" customHeight="false" outlineLevel="0" collapsed="false">
      <c r="A11" s="8" t="s">
        <v>663</v>
      </c>
      <c r="B11" s="8" t="s">
        <v>672</v>
      </c>
      <c r="C11" s="8" t="s">
        <v>673</v>
      </c>
      <c r="D11" s="11" t="s">
        <v>674</v>
      </c>
    </row>
    <row r="12" customFormat="false" ht="15" hidden="false" customHeight="false" outlineLevel="0" collapsed="false">
      <c r="A12" s="8" t="s">
        <v>663</v>
      </c>
      <c r="B12" s="8" t="s">
        <v>675</v>
      </c>
      <c r="C12" s="8" t="s">
        <v>676</v>
      </c>
      <c r="D12" s="11" t="s">
        <v>677</v>
      </c>
    </row>
    <row r="13" customFormat="false" ht="23.85" hidden="false" customHeight="false" outlineLevel="0" collapsed="false">
      <c r="A13" s="8" t="s">
        <v>663</v>
      </c>
      <c r="B13" s="8" t="s">
        <v>678</v>
      </c>
      <c r="C13" s="8" t="s">
        <v>679</v>
      </c>
      <c r="D13" s="11" t="s">
        <v>680</v>
      </c>
    </row>
    <row r="14" customFormat="false" ht="15" hidden="false" customHeight="false" outlineLevel="0" collapsed="false">
      <c r="A14" s="8" t="s">
        <v>681</v>
      </c>
      <c r="B14" s="8" t="s">
        <v>682</v>
      </c>
      <c r="C14" s="8" t="s">
        <v>683</v>
      </c>
      <c r="D14" s="11" t="s">
        <v>684</v>
      </c>
    </row>
    <row r="15" customFormat="false" ht="15" hidden="false" customHeight="false" outlineLevel="0" collapsed="false">
      <c r="A15" s="8" t="s">
        <v>681</v>
      </c>
      <c r="B15" s="8" t="s">
        <v>685</v>
      </c>
      <c r="C15" s="8" t="s">
        <v>686</v>
      </c>
      <c r="D15" s="11" t="s">
        <v>687</v>
      </c>
    </row>
    <row r="16" customFormat="false" ht="15" hidden="false" customHeight="false" outlineLevel="0" collapsed="false">
      <c r="A16" s="8" t="s">
        <v>681</v>
      </c>
      <c r="B16" s="8" t="s">
        <v>688</v>
      </c>
      <c r="C16" s="8" t="s">
        <v>689</v>
      </c>
      <c r="D16" s="11" t="s">
        <v>690</v>
      </c>
    </row>
    <row r="17" customFormat="false" ht="15" hidden="false" customHeight="false" outlineLevel="0" collapsed="false">
      <c r="A17" s="8" t="s">
        <v>681</v>
      </c>
      <c r="B17" s="8" t="s">
        <v>691</v>
      </c>
      <c r="C17" s="8" t="s">
        <v>692</v>
      </c>
      <c r="D17" s="11" t="s">
        <v>693</v>
      </c>
    </row>
    <row r="18" customFormat="false" ht="15" hidden="false" customHeight="false" outlineLevel="0" collapsed="false">
      <c r="A18" s="8" t="s">
        <v>681</v>
      </c>
      <c r="B18" s="8" t="s">
        <v>694</v>
      </c>
      <c r="C18" s="8" t="s">
        <v>695</v>
      </c>
      <c r="D18" s="11" t="s">
        <v>696</v>
      </c>
    </row>
    <row r="19" customFormat="false" ht="15" hidden="false" customHeight="false" outlineLevel="0" collapsed="false">
      <c r="A19" s="8" t="s">
        <v>697</v>
      </c>
      <c r="B19" s="8" t="s">
        <v>546</v>
      </c>
      <c r="C19" s="8" t="s">
        <v>698</v>
      </c>
      <c r="D19" s="11" t="s">
        <v>699</v>
      </c>
    </row>
    <row r="20" customFormat="false" ht="15" hidden="false" customHeight="false" outlineLevel="0" collapsed="false">
      <c r="A20" s="8" t="s">
        <v>697</v>
      </c>
      <c r="B20" s="8" t="s">
        <v>700</v>
      </c>
      <c r="C20" s="8" t="s">
        <v>701</v>
      </c>
      <c r="D20" s="11" t="s">
        <v>702</v>
      </c>
    </row>
    <row r="21" customFormat="false" ht="15" hidden="false" customHeight="false" outlineLevel="0" collapsed="false">
      <c r="A21" s="8" t="s">
        <v>697</v>
      </c>
      <c r="B21" s="8" t="s">
        <v>703</v>
      </c>
      <c r="C21" s="8" t="s">
        <v>704</v>
      </c>
      <c r="D21" s="11" t="s">
        <v>705</v>
      </c>
    </row>
    <row r="22" customFormat="false" ht="15" hidden="false" customHeight="false" outlineLevel="0" collapsed="false">
      <c r="A22" s="8" t="s">
        <v>697</v>
      </c>
      <c r="B22" s="8" t="s">
        <v>706</v>
      </c>
      <c r="C22" s="8" t="s">
        <v>707</v>
      </c>
      <c r="D22" s="11" t="s">
        <v>708</v>
      </c>
    </row>
    <row r="23" customFormat="false" ht="15" hidden="false" customHeight="false" outlineLevel="0" collapsed="false">
      <c r="A23" s="8" t="s">
        <v>697</v>
      </c>
      <c r="B23" s="8" t="s">
        <v>709</v>
      </c>
      <c r="C23" s="8" t="s">
        <v>710</v>
      </c>
      <c r="D23" s="11" t="s">
        <v>711</v>
      </c>
    </row>
  </sheetData>
  <autoFilter ref="A1:D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0"/>
    <col collapsed="false" customWidth="true" hidden="false" outlineLevel="0" max="10" min="10" style="0" width="40"/>
  </cols>
  <sheetData>
    <row r="1" customFormat="false" ht="31.5" hidden="false" customHeight="true" outlineLevel="0" collapsed="false">
      <c r="A1" s="7" t="s">
        <v>19</v>
      </c>
      <c r="B1" s="7" t="s">
        <v>712</v>
      </c>
      <c r="C1" s="7" t="s">
        <v>384</v>
      </c>
      <c r="D1" s="7" t="s">
        <v>385</v>
      </c>
      <c r="E1" s="7" t="s">
        <v>713</v>
      </c>
      <c r="F1" s="7" t="s">
        <v>31</v>
      </c>
      <c r="G1" s="7" t="s">
        <v>28</v>
      </c>
      <c r="H1" s="7" t="s">
        <v>714</v>
      </c>
      <c r="I1" s="7" t="s">
        <v>715</v>
      </c>
      <c r="J1" s="7" t="s">
        <v>716</v>
      </c>
    </row>
    <row r="2" customFormat="false" ht="35.05" hidden="false" customHeight="false" outlineLevel="0" collapsed="false">
      <c r="A2" s="8" t="s">
        <v>717</v>
      </c>
      <c r="B2" s="8" t="s">
        <v>718</v>
      </c>
      <c r="C2" s="8" t="s">
        <v>719</v>
      </c>
      <c r="D2" s="8" t="n">
        <v>650</v>
      </c>
      <c r="E2" s="8" t="n">
        <v>3</v>
      </c>
      <c r="F2" s="8" t="n">
        <v>6</v>
      </c>
      <c r="G2" s="8" t="n">
        <v>20</v>
      </c>
      <c r="H2" s="12" t="s">
        <v>125</v>
      </c>
      <c r="I2" s="11" t="s">
        <v>720</v>
      </c>
      <c r="J2" s="11" t="s">
        <v>721</v>
      </c>
    </row>
    <row r="3" customFormat="false" ht="23.85" hidden="false" customHeight="false" outlineLevel="0" collapsed="false">
      <c r="A3" s="8" t="s">
        <v>722</v>
      </c>
      <c r="B3" s="8" t="s">
        <v>723</v>
      </c>
      <c r="C3" s="8" t="s">
        <v>724</v>
      </c>
      <c r="D3" s="8" t="n">
        <v>230</v>
      </c>
      <c r="E3" s="8" t="n">
        <v>1.5</v>
      </c>
      <c r="F3" s="8" t="n">
        <v>6</v>
      </c>
      <c r="G3" s="8" t="n">
        <v>9</v>
      </c>
      <c r="H3" s="8" t="s">
        <v>725</v>
      </c>
      <c r="I3" s="11" t="s">
        <v>726</v>
      </c>
      <c r="J3" s="11" t="s">
        <v>727</v>
      </c>
    </row>
    <row r="4" customFormat="false" ht="35.05" hidden="false" customHeight="false" outlineLevel="0" collapsed="false">
      <c r="A4" s="8" t="s">
        <v>728</v>
      </c>
      <c r="B4" s="8" t="s">
        <v>729</v>
      </c>
      <c r="C4" s="8" t="s">
        <v>730</v>
      </c>
      <c r="D4" s="8" t="n">
        <v>110</v>
      </c>
      <c r="E4" s="8" t="n">
        <v>0</v>
      </c>
      <c r="F4" s="8" t="n">
        <v>20</v>
      </c>
      <c r="G4" s="8" t="n">
        <v>0.5</v>
      </c>
      <c r="H4" s="12" t="s">
        <v>125</v>
      </c>
      <c r="I4" s="11" t="s">
        <v>731</v>
      </c>
      <c r="J4" s="8" t="s">
        <v>732</v>
      </c>
    </row>
    <row r="5" customFormat="false" ht="23.85" hidden="false" customHeight="false" outlineLevel="0" collapsed="false">
      <c r="A5" s="8" t="s">
        <v>733</v>
      </c>
      <c r="B5" s="8" t="s">
        <v>734</v>
      </c>
      <c r="C5" s="8" t="s">
        <v>735</v>
      </c>
      <c r="D5" s="8" t="n">
        <v>280</v>
      </c>
      <c r="E5" s="8" t="n">
        <v>1.2</v>
      </c>
      <c r="F5" s="8" t="n">
        <v>1</v>
      </c>
      <c r="G5" s="8" t="n">
        <v>18</v>
      </c>
      <c r="H5" s="8" t="s">
        <v>736</v>
      </c>
      <c r="I5" s="11" t="s">
        <v>737</v>
      </c>
      <c r="J5" s="11" t="s">
        <v>738</v>
      </c>
    </row>
    <row r="6" customFormat="false" ht="23.85" hidden="false" customHeight="false" outlineLevel="0" collapsed="false">
      <c r="A6" s="8" t="s">
        <v>739</v>
      </c>
      <c r="B6" s="8" t="s">
        <v>740</v>
      </c>
      <c r="C6" s="8" t="s">
        <v>741</v>
      </c>
      <c r="D6" s="8" t="n">
        <v>300</v>
      </c>
      <c r="E6" s="8" t="n">
        <v>1.8</v>
      </c>
      <c r="F6" s="8" t="n">
        <v>3</v>
      </c>
      <c r="G6" s="8" t="n">
        <v>10</v>
      </c>
      <c r="H6" s="12" t="s">
        <v>125</v>
      </c>
      <c r="I6" s="11" t="s">
        <v>742</v>
      </c>
      <c r="J6" s="11" t="s">
        <v>743</v>
      </c>
    </row>
    <row r="7" customFormat="false" ht="23.85" hidden="false" customHeight="false" outlineLevel="0" collapsed="false">
      <c r="A7" s="8" t="s">
        <v>744</v>
      </c>
      <c r="B7" s="8" t="s">
        <v>422</v>
      </c>
      <c r="C7" s="8" t="s">
        <v>745</v>
      </c>
      <c r="D7" s="8" t="n">
        <v>260</v>
      </c>
      <c r="E7" s="8" t="n">
        <v>0.9</v>
      </c>
      <c r="F7" s="8" t="n">
        <v>2</v>
      </c>
      <c r="G7" s="8" t="n">
        <v>17</v>
      </c>
      <c r="H7" s="8" t="s">
        <v>725</v>
      </c>
      <c r="I7" s="11" t="s">
        <v>746</v>
      </c>
      <c r="J7" s="8" t="s">
        <v>747</v>
      </c>
    </row>
    <row r="8" customFormat="false" ht="23.85" hidden="false" customHeight="false" outlineLevel="0" collapsed="false">
      <c r="A8" s="8" t="s">
        <v>748</v>
      </c>
      <c r="B8" s="8" t="s">
        <v>749</v>
      </c>
      <c r="C8" s="8" t="s">
        <v>750</v>
      </c>
      <c r="D8" s="8" t="n">
        <v>80</v>
      </c>
      <c r="E8" s="8" t="n">
        <v>0.3</v>
      </c>
      <c r="F8" s="8" t="n">
        <v>5</v>
      </c>
      <c r="G8" s="8" t="n">
        <v>3</v>
      </c>
      <c r="H8" s="12" t="s">
        <v>125</v>
      </c>
      <c r="I8" s="11" t="s">
        <v>751</v>
      </c>
      <c r="J8" s="11" t="s">
        <v>752</v>
      </c>
    </row>
    <row r="9" customFormat="false" ht="23.85" hidden="false" customHeight="false" outlineLevel="0" collapsed="false">
      <c r="A9" s="8" t="s">
        <v>663</v>
      </c>
      <c r="B9" s="8" t="s">
        <v>753</v>
      </c>
      <c r="C9" s="8" t="s">
        <v>754</v>
      </c>
      <c r="D9" s="8" t="n">
        <v>300</v>
      </c>
      <c r="E9" s="8" t="n">
        <v>0.1</v>
      </c>
      <c r="F9" s="8" t="n">
        <v>32</v>
      </c>
      <c r="G9" s="8" t="n">
        <v>12</v>
      </c>
      <c r="H9" s="8" t="s">
        <v>725</v>
      </c>
      <c r="I9" s="11" t="s">
        <v>755</v>
      </c>
      <c r="J9" s="11" t="s">
        <v>756</v>
      </c>
    </row>
    <row r="10" customFormat="false" ht="23.85" hidden="false" customHeight="false" outlineLevel="0" collapsed="false">
      <c r="A10" s="8" t="s">
        <v>757</v>
      </c>
      <c r="B10" s="8" t="s">
        <v>419</v>
      </c>
      <c r="C10" s="8" t="s">
        <v>758</v>
      </c>
      <c r="D10" s="8" t="n">
        <v>300</v>
      </c>
      <c r="E10" s="8" t="n">
        <v>1.5</v>
      </c>
      <c r="F10" s="8" t="n">
        <v>4</v>
      </c>
      <c r="G10" s="8" t="n">
        <v>14</v>
      </c>
      <c r="H10" s="8" t="s">
        <v>725</v>
      </c>
      <c r="I10" s="11" t="s">
        <v>759</v>
      </c>
      <c r="J10" s="8" t="s">
        <v>760</v>
      </c>
    </row>
    <row r="11" customFormat="false" ht="35.05" hidden="false" customHeight="false" outlineLevel="0" collapsed="false">
      <c r="A11" s="8" t="s">
        <v>761</v>
      </c>
      <c r="B11" s="8" t="s">
        <v>762</v>
      </c>
      <c r="C11" s="8" t="s">
        <v>763</v>
      </c>
      <c r="D11" s="8" t="n">
        <v>139</v>
      </c>
      <c r="E11" s="8" t="n">
        <v>0</v>
      </c>
      <c r="F11" s="8" t="n">
        <v>35</v>
      </c>
      <c r="G11" s="8" t="n">
        <v>0</v>
      </c>
      <c r="H11" s="8" t="s">
        <v>736</v>
      </c>
      <c r="I11" s="11" t="s">
        <v>764</v>
      </c>
      <c r="J11" s="11" t="s">
        <v>765</v>
      </c>
    </row>
  </sheetData>
  <autoFilter ref="A1:J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50"/>
  </cols>
  <sheetData>
    <row r="1" customFormat="false" ht="31.5" hidden="false" customHeight="true" outlineLevel="0" collapsed="false">
      <c r="A1" s="7" t="s">
        <v>19</v>
      </c>
      <c r="B1" s="7" t="s">
        <v>21</v>
      </c>
      <c r="C1" s="7" t="s">
        <v>20</v>
      </c>
      <c r="D1" s="7" t="s">
        <v>22</v>
      </c>
      <c r="E1" s="7" t="s">
        <v>766</v>
      </c>
      <c r="F1" s="7" t="s">
        <v>767</v>
      </c>
      <c r="G1" s="7" t="s">
        <v>768</v>
      </c>
      <c r="H1" s="7" t="s">
        <v>714</v>
      </c>
      <c r="I1" s="7" t="s">
        <v>769</v>
      </c>
      <c r="J1" s="7" t="s">
        <v>770</v>
      </c>
    </row>
    <row r="2" customFormat="false" ht="15" hidden="false" customHeight="false" outlineLevel="0" collapsed="false">
      <c r="A2" s="8" t="s">
        <v>771</v>
      </c>
      <c r="B2" s="8" t="s">
        <v>772</v>
      </c>
      <c r="C2" s="8" t="s">
        <v>773</v>
      </c>
      <c r="D2" s="8" t="s">
        <v>98</v>
      </c>
      <c r="E2" s="8" t="s">
        <v>774</v>
      </c>
      <c r="F2" s="8" t="n">
        <v>149</v>
      </c>
      <c r="G2" s="8" t="n">
        <v>179</v>
      </c>
      <c r="H2" s="12" t="s">
        <v>125</v>
      </c>
      <c r="I2" s="8" t="s">
        <v>55</v>
      </c>
      <c r="J2" s="11" t="s">
        <v>775</v>
      </c>
    </row>
    <row r="3" customFormat="false" ht="15" hidden="false" customHeight="false" outlineLevel="0" collapsed="false">
      <c r="A3" s="8" t="s">
        <v>776</v>
      </c>
      <c r="B3" s="8" t="s">
        <v>777</v>
      </c>
      <c r="C3" s="8" t="s">
        <v>773</v>
      </c>
      <c r="D3" s="8" t="s">
        <v>778</v>
      </c>
      <c r="E3" s="8" t="s">
        <v>779</v>
      </c>
      <c r="F3" s="8" t="n">
        <v>99</v>
      </c>
      <c r="G3" s="8" t="n">
        <v>120</v>
      </c>
      <c r="H3" s="9" t="s">
        <v>56</v>
      </c>
      <c r="I3" s="8" t="s">
        <v>55</v>
      </c>
      <c r="J3" s="11" t="s">
        <v>780</v>
      </c>
    </row>
    <row r="4" customFormat="false" ht="15" hidden="false" customHeight="false" outlineLevel="0" collapsed="false">
      <c r="A4" s="8" t="s">
        <v>781</v>
      </c>
      <c r="B4" s="8" t="s">
        <v>782</v>
      </c>
      <c r="C4" s="8" t="s">
        <v>773</v>
      </c>
      <c r="D4" s="8" t="s">
        <v>778</v>
      </c>
      <c r="E4" s="8" t="s">
        <v>783</v>
      </c>
      <c r="F4" s="8" t="n">
        <v>89</v>
      </c>
      <c r="G4" s="8" t="n">
        <v>99</v>
      </c>
      <c r="H4" s="9" t="s">
        <v>56</v>
      </c>
      <c r="I4" s="8" t="s">
        <v>55</v>
      </c>
      <c r="J4" s="11" t="s">
        <v>784</v>
      </c>
    </row>
    <row r="5" customFormat="false" ht="15" hidden="false" customHeight="false" outlineLevel="0" collapsed="false">
      <c r="A5" s="8" t="s">
        <v>785</v>
      </c>
      <c r="B5" s="8" t="s">
        <v>786</v>
      </c>
      <c r="C5" s="8" t="s">
        <v>773</v>
      </c>
      <c r="D5" s="8" t="s">
        <v>98</v>
      </c>
      <c r="E5" s="8" t="s">
        <v>787</v>
      </c>
      <c r="F5" s="8" t="n">
        <v>119</v>
      </c>
      <c r="G5" s="8" t="n">
        <v>140</v>
      </c>
      <c r="H5" s="12" t="s">
        <v>125</v>
      </c>
      <c r="I5" s="8" t="s">
        <v>55</v>
      </c>
      <c r="J5" s="11" t="s">
        <v>788</v>
      </c>
    </row>
    <row r="6" customFormat="false" ht="23.85" hidden="false" customHeight="false" outlineLevel="0" collapsed="false">
      <c r="A6" s="8" t="s">
        <v>789</v>
      </c>
      <c r="B6" s="8" t="s">
        <v>790</v>
      </c>
      <c r="C6" s="8" t="s">
        <v>773</v>
      </c>
      <c r="D6" s="8" t="s">
        <v>791</v>
      </c>
      <c r="E6" s="8" t="s">
        <v>792</v>
      </c>
      <c r="F6" s="8" t="n">
        <v>249</v>
      </c>
      <c r="G6" s="8" t="n">
        <v>299</v>
      </c>
      <c r="H6" s="9" t="s">
        <v>56</v>
      </c>
      <c r="I6" s="8" t="s">
        <v>55</v>
      </c>
      <c r="J6" s="11" t="s">
        <v>793</v>
      </c>
    </row>
    <row r="7" customFormat="false" ht="15" hidden="false" customHeight="false" outlineLevel="0" collapsed="false">
      <c r="A7" s="8" t="s">
        <v>794</v>
      </c>
      <c r="B7" s="8" t="s">
        <v>795</v>
      </c>
      <c r="C7" s="8" t="s">
        <v>773</v>
      </c>
      <c r="D7" s="8" t="s">
        <v>354</v>
      </c>
      <c r="E7" s="8" t="s">
        <v>796</v>
      </c>
      <c r="F7" s="8" t="n">
        <v>299</v>
      </c>
      <c r="G7" s="8" t="n">
        <v>349</v>
      </c>
      <c r="H7" s="12" t="s">
        <v>125</v>
      </c>
      <c r="I7" s="8" t="s">
        <v>55</v>
      </c>
      <c r="J7" s="11" t="s">
        <v>797</v>
      </c>
    </row>
    <row r="8" customFormat="false" ht="15" hidden="false" customHeight="false" outlineLevel="0" collapsed="false">
      <c r="A8" s="8" t="s">
        <v>798</v>
      </c>
      <c r="B8" s="8" t="s">
        <v>799</v>
      </c>
      <c r="C8" s="8" t="s">
        <v>773</v>
      </c>
      <c r="D8" s="8" t="s">
        <v>791</v>
      </c>
      <c r="E8" s="8" t="s">
        <v>800</v>
      </c>
      <c r="F8" s="8" t="n">
        <v>159</v>
      </c>
      <c r="G8" s="8" t="n">
        <v>180</v>
      </c>
      <c r="H8" s="9" t="s">
        <v>56</v>
      </c>
      <c r="I8" s="8" t="s">
        <v>55</v>
      </c>
      <c r="J8" s="11" t="s">
        <v>801</v>
      </c>
    </row>
    <row r="9" customFormat="false" ht="15" hidden="false" customHeight="false" outlineLevel="0" collapsed="false">
      <c r="A9" s="8" t="s">
        <v>802</v>
      </c>
      <c r="B9" s="8" t="s">
        <v>803</v>
      </c>
      <c r="C9" s="8" t="s">
        <v>773</v>
      </c>
      <c r="D9" s="8" t="s">
        <v>167</v>
      </c>
      <c r="E9" s="8" t="s">
        <v>804</v>
      </c>
      <c r="F9" s="8" t="n">
        <v>60</v>
      </c>
      <c r="G9" s="8" t="n">
        <v>70</v>
      </c>
      <c r="H9" s="12" t="s">
        <v>125</v>
      </c>
      <c r="I9" s="8" t="s">
        <v>55</v>
      </c>
      <c r="J9" s="11" t="s">
        <v>805</v>
      </c>
    </row>
    <row r="10" customFormat="false" ht="23.85" hidden="false" customHeight="false" outlineLevel="0" collapsed="false">
      <c r="A10" s="8" t="s">
        <v>806</v>
      </c>
      <c r="B10" s="8" t="s">
        <v>807</v>
      </c>
      <c r="C10" s="8" t="s">
        <v>773</v>
      </c>
      <c r="D10" s="8" t="s">
        <v>98</v>
      </c>
      <c r="E10" s="8" t="s">
        <v>800</v>
      </c>
      <c r="F10" s="8" t="n">
        <v>229</v>
      </c>
      <c r="G10" s="8" t="n">
        <v>260</v>
      </c>
      <c r="H10" s="12" t="s">
        <v>125</v>
      </c>
      <c r="I10" s="8" t="s">
        <v>55</v>
      </c>
      <c r="J10" s="11" t="s">
        <v>808</v>
      </c>
    </row>
  </sheetData>
  <autoFilter ref="A1:J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2026-10-27T09:46:28Z</dcterms:created>
  <dc:creator>openpyxl</dc:creator>
  <dc:description/>
  <dc:language>en-US</dc:language>
  <cp:lastModifiedBy/>
  <dcterms:modified xsi:type="dcterms:W3CDTF">2026-10-27T09:46:28Z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